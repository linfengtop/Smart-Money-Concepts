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37804a7c1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555db4465954a03"/>
    <x:sheet xmlns:r="http://schemas.openxmlformats.org/officeDocument/2006/relationships" name="参数设置" sheetId="2" r:id="R1bd342f95bdf4d32"/>
    <x:sheet xmlns:r="http://schemas.openxmlformats.org/officeDocument/2006/relationships" name="盘前计划" sheetId="3" r:id="Rc831cac743fd4aaf"/>
    <x:sheet xmlns:r="http://schemas.openxmlformats.org/officeDocument/2006/relationships" name="交易日志" sheetId="4" r:id="R1fab0bbfa9ee4c17"/>
    <x:sheet xmlns:r="http://schemas.openxmlformats.org/officeDocument/2006/relationships" name="回测记录" sheetId="5" r:id="R34f634dfb372462d"/>
    <x:sheet xmlns:r="http://schemas.openxmlformats.org/officeDocument/2006/relationships" name="统计看板" sheetId="6" r:id="Rb9f13410fd4c4bf2"/>
    <x:sheet xmlns:r="http://schemas.openxmlformats.org/officeDocument/2006/relationships" name="下拉选项" sheetId="7" r:id="Rf87c83706dd342e1"/>
    <x:sheet xmlns:r="http://schemas.openxmlformats.org/officeDocument/2006/relationships" name="周期框架" sheetId="8" r:id="R59d3448e506e4e13"/>
    <x:sheet xmlns:r="http://schemas.openxmlformats.org/officeDocument/2006/relationships" name="术语速查" sheetId="9" r:id="R9380e0e5fd9845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"/>
    <x:numFmt numFmtId="201" formatCode="0.00%"/>
    <x:numFmt numFmtId="202" formatCode="0.00"/>
    <x:numFmt numFmtId="203" formatCode="0.0%"/>
    <x:numFmt numFmtId="204" formatCode="yyyy-mm-dd"/>
    <x:numFmt numFmtId="205" formatCode="0"/>
  </x:numFmts>
  <x:fonts count="2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F766E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7365D"/>
      <x:name val="Carlito"/>
    </x:font>
    <x:font>
      <x:sz val="10"/>
      <x:color rgb="FF1F2937"/>
      <x:name val="Carlito"/>
    </x:font>
    <x:font>
      <x:b/>
      <x:sz val="11"/>
      <x:color rgb="FF7C4A03"/>
      <x:name val="Carlito"/>
    </x:font>
    <x:font>
      <x:sz val="11"/>
      <x:color rgb="FF7C4A03"/>
      <x:name val="Carlito"/>
    </x:font>
    <x:font>
      <x:sz val="9"/>
      <x:color rgb="FF64748B"/>
      <x:name val="Carlito"/>
    </x:font>
    <x:font>
      <x:sz val="10"/>
      <x:color rgb="FF24384D"/>
      <x:name val="Microsoft YaHei"/>
    </x:font>
    <x:font>
      <x:b/>
      <x:sz val="10"/>
      <x:color rgb="FF24384D"/>
      <x:name val="Microsoft YaHei"/>
    </x:font>
    <x:font>
      <x:b/>
      <x:sz val="20"/>
      <x:color rgb="FFFFFFFF"/>
      <x:name val="Microsoft YaHei"/>
    </x:font>
    <x:font>
      <x:b/>
      <x:sz val="10"/>
      <x:color rgb="FF8A5400"/>
      <x:name val="Microsoft YaHei"/>
    </x:font>
    <x:font>
      <x:b/>
      <x:sz val="10"/>
      <x:color rgb="FFFFFFFF"/>
      <x:name val="Microsoft YaHei"/>
    </x:font>
    <x:font>
      <x:b/>
      <x:sz val="10"/>
      <x:color rgb="FF14827B"/>
      <x:name val="Microsoft YaHei"/>
    </x:font>
    <x:font>
      <x:b/>
      <x:sz val="12"/>
      <x:color rgb="FF1D406C"/>
      <x:name val="Microsoft YaHei"/>
    </x:font>
    <x:font>
      <x:b/>
      <x:sz val="10"/>
      <x:color rgb="FF943D3D"/>
      <x:name val="Microsoft YaHei"/>
    </x:font>
    <x:font>
      <x:b/>
      <x:sz val="11"/>
      <x:color rgb="FF704400"/>
      <x:name val="Microsoft YaHei"/>
    </x:font>
    <x:font>
      <x:i/>
      <x:sz val="9"/>
      <x:color rgb="FF587087"/>
      <x:name val="Microsoft YaHei"/>
    </x:font>
    <x:font>
      <x:b/>
      <x:sz val="10"/>
      <x:color rgb="FF1D406C"/>
      <x:name val="Microsoft YaHei"/>
    </x:font>
    <x:font>
      <x:b/>
      <x:sz val="11"/>
      <x:color rgb="FF1D406C"/>
      <x:name val="Microsoft YaHei"/>
    </x:font>
    <x:font>
      <x:sz val="9"/>
      <x:color rgb="FF587087"/>
      <x:name val="Microsoft YaHei"/>
    </x:font>
  </x:fonts>
  <x:fills count="2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F3EF"/>
      </x:patternFill>
    </x:fill>
    <x:fill>
      <x:patternFill patternType="solid">
        <x:fgColor rgb="FF2F5597"/>
      </x:patternFill>
    </x:fill>
    <x:fill>
      <x:patternFill patternType="solid">
        <x:fgColor rgb="FFF4F7FB"/>
      </x:patternFill>
    </x:fill>
    <x:fill>
      <x:patternFill patternType="solid">
        <x:fgColor rgb="FFDCE6F1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  <x:fill>
      <x:patternFill patternType="solid">
        <x:fgColor rgb="FFF4F7FB"/>
      </x:patternFill>
    </x:fill>
    <x:fill>
      <x:patternFill patternType="solid">
        <x:fgColor rgb="FFF2F6FA"/>
      </x:patternFill>
    </x:fill>
    <x:fill>
      <x:patternFill patternType="solid">
        <x:fgColor rgb="FF1D406C"/>
      </x:patternFill>
    </x:fill>
    <x:fill>
      <x:patternFill patternType="solid">
        <x:fgColor rgb="FFFFF2CC"/>
      </x:patternFill>
    </x:fill>
    <x:fill>
      <x:patternFill patternType="solid">
        <x:fgColor rgb="FF2F5FA5"/>
      </x:patternFill>
    </x:fill>
    <x:fill>
      <x:patternFill patternType="solid">
        <x:fgColor rgb="FFF6F9FC"/>
      </x:patternFill>
    </x:fill>
    <x:fill>
      <x:patternFill patternType="solid">
        <x:fgColor rgb="FFDDF1ED"/>
      </x:patternFill>
    </x:fill>
    <x:fill>
      <x:patternFill patternType="solid">
        <x:fgColor rgb="FFD9E6F2"/>
      </x:patternFill>
    </x:fill>
    <x:fill>
      <x:patternFill patternType="solid">
        <x:fgColor rgb="FFFBE3E3"/>
      </x:patternFill>
    </x:fill>
    <x:fill>
      <x:patternFill patternType="solid">
        <x:fgColor rgb="FFF7FAFC"/>
      </x:patternFill>
    </x:fill>
    <x:fill>
      <x:patternFill patternType="solid">
        <x:fgColor rgb="FFE8F1FA"/>
      </x:patternFill>
    </x:fill>
  </x:fills>
  <x:borders count="2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9D7E4"/>
      </x:left>
      <x:right style="thin">
        <x:color rgb="FFC9D7E4"/>
      </x:right>
      <x:top style="thin">
        <x:color rgb="FFC9D7E4"/>
      </x:top>
      <x:bottom style="thin">
        <x:color rgb="FFC9D7E4"/>
      </x:bottom>
    </x:border>
    <x:border>
      <x:left style="medium">
        <x:color rgb="FFD9B55B"/>
      </x:left>
      <x:top style="medium">
        <x:color rgb="FFD9B55B"/>
      </x:top>
    </x:border>
    <x:border>
      <x:top style="medium">
        <x:color rgb="FFD9B55B"/>
      </x:top>
    </x:border>
    <x:border>
      <x:right style="medium">
        <x:color rgb="FFD9B55B"/>
      </x:right>
      <x:top style="medium">
        <x:color rgb="FFD9B55B"/>
      </x:top>
    </x:border>
    <x:border>
      <x:left style="medium">
        <x:color rgb="FFD9B55B"/>
      </x:left>
    </x:border>
    <x:border>
      <x:right style="medium">
        <x:color rgb="FFD9B55B"/>
      </x:right>
    </x:border>
    <x:border>
      <x:left style="medium">
        <x:color rgb="FFD9B55B"/>
      </x:left>
      <x:bottom style="medium">
        <x:color rgb="FFD9B55B"/>
      </x:bottom>
    </x:border>
    <x:border>
      <x:bottom style="medium">
        <x:color rgb="FFD9B55B"/>
      </x:bottom>
    </x:border>
    <x:border>
      <x:right style="medium">
        <x:color rgb="FFD9B55B"/>
      </x:right>
      <x:bottom style="medium">
        <x:color rgb="FFD9B55B"/>
      </x:bottom>
    </x:border>
  </x:borders>
  <x:cellStyleXfs count="1">
    <x:xf numFmtId="0" fontId="0" fillId="0" borderId="0"/>
  </x:cellStyleXfs>
  <x:cellXfs count="3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5" fillId="6" borderId="8" xfId="0" applyNumberFormat="1" applyFont="1" applyFill="1" applyBorder="1"/>
    <x:xf numFmtId="0" fontId="5" fillId="6" borderId="4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7" xfId="0" applyNumberFormat="1" applyFont="1" applyFill="1" applyBorder="1"/>
    <x:xf numFmtId="0" fontId="4" fillId="7" borderId="9" xfId="0" applyNumberFormat="1" applyFont="1" applyFill="1" applyBorder="1"/>
    <x:xf numFmtId="0" fontId="4" fillId="7" borderId="6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3" xfId="0" applyNumberFormat="1" applyFont="1" applyFill="1" applyBorder="1"/>
    <x:xf numFmtId="0" fontId="4" fillId="7" borderId="12" xfId="0" applyNumberFormat="1" applyFont="1" applyFill="1" applyBorder="1"/>
    <x:xf numFmtId="0" fontId="4" fillId="7" borderId="2" xfId="0" applyNumberFormat="1" applyFont="1" applyFill="1" applyBorder="1"/>
    <x:xf numFmtId="0" fontId="4" fillId="7" borderId="7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11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vertical="top" wrapText="1"/>
    </x:xf>
    <x:xf numFmtId="0" fontId="4" fillId="7" borderId="9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4" fillId="7" borderId="1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13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1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14" xfId="0" applyNumberFormat="1" applyFont="1" applyFill="1" applyBorder="1"/>
    <x:xf numFmtId="0" fontId="6" fillId="5" borderId="7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13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14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/>
    <x:xf numFmtId="0" fontId="4" fillId="5" borderId="1" xfId="0" applyNumberFormat="1" applyFont="1" applyFill="1" applyBorder="1"/>
    <x:xf numFmtId="0" fontId="4" fillId="5" borderId="14" xfId="0" applyNumberFormat="1" applyFont="1" applyFill="1" applyBorder="1"/>
    <x:xf numFmtId="0" fontId="4" fillId="5" borderId="1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8" borderId="13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4" fillId="8" borderId="14" xfId="0" applyNumberFormat="1" applyFont="1" applyFill="1" applyBorder="1" applyAlignment="1">
      <x:alignment wrapText="1"/>
    </x:xf>
    <x:xf numFmtId="200" fontId="4" fillId="8" borderId="13" xfId="0" applyNumberFormat="1" applyFont="1" applyFill="1" applyBorder="1" applyAlignment="1">
      <x:alignment wrapText="1"/>
    </x:xf>
    <x:xf numFmtId="201" fontId="4" fillId="8" borderId="1" xfId="0" applyNumberFormat="1" applyFont="1" applyFill="1" applyBorder="1" applyAlignment="1">
      <x:alignment wrapText="1"/>
    </x:xf>
    <x:xf numFmtId="202" fontId="4" fillId="8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13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1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14" xfId="0" applyNumberFormat="1" applyFont="1" applyFill="1" applyBorder="1"/>
    <x:xf numFmtId="0" fontId="4" fillId="3" borderId="7" xfId="0" applyNumberFormat="1" applyFont="1" applyFill="1" applyBorder="1"/>
    <x:xf numFmtId="200" fontId="4" fillId="3" borderId="13" xfId="0" applyNumberFormat="1" applyFont="1" applyFill="1" applyBorder="1"/>
    <x:xf numFmtId="200" fontId="4" fillId="3" borderId="1" xfId="0" applyNumberFormat="1" applyFont="1" applyFill="1" applyBorder="1"/>
    <x:xf numFmtId="203" fontId="4" fillId="3" borderId="14" xfId="0" applyNumberFormat="1" applyFont="1" applyFill="1" applyBorder="1"/>
    <x:xf numFmtId="0" fontId="4" fillId="5" borderId="12" xfId="0" applyNumberFormat="1" applyFont="1" applyFill="1" applyBorder="1"/>
    <x:xf numFmtId="0" fontId="4" fillId="5" borderId="9" xfId="0" applyNumberFormat="1" applyFont="1" applyFill="1" applyBorder="1"/>
    <x:xf numFmtId="0" fontId="4" fillId="3" borderId="12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5" borderId="8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4" fillId="7" borderId="13" xfId="0" applyNumberFormat="1" applyFont="1" applyFill="1" applyBorder="1"/>
    <x:xf numFmtId="0" fontId="4" fillId="7" borderId="4" xfId="0" applyNumberFormat="1" applyFont="1" applyFill="1" applyBorder="1"/>
    <x:xf numFmtId="0" fontId="4" fillId="7" borderId="1" xfId="0" applyNumberFormat="1" applyFont="1" applyFill="1" applyBorder="1"/>
    <x:xf numFmtId="0" fontId="4" fillId="7" borderId="5" xfId="0" applyNumberFormat="1" applyFont="1" applyFill="1" applyBorder="1"/>
    <x:xf numFmtId="0" fontId="4" fillId="7" borderId="14" xfId="0" applyNumberFormat="1" applyFont="1" applyFill="1" applyBorder="1"/>
    <x:xf numFmtId="0" fontId="4" fillId="8" borderId="2" xfId="0" applyNumberFormat="1" applyFont="1" applyFill="1" applyBorder="1"/>
    <x:xf numFmtId="0" fontId="4" fillId="8" borderId="13" xfId="0" applyNumberFormat="1" applyFont="1" applyFill="1" applyBorder="1"/>
    <x:xf numFmtId="0" fontId="4" fillId="8" borderId="4" xfId="0" applyNumberFormat="1" applyFont="1" applyFill="1" applyBorder="1"/>
    <x:xf numFmtId="0" fontId="4" fillId="8" borderId="1" xfId="0" applyNumberFormat="1" applyFont="1" applyFill="1" applyBorder="1"/>
    <x:xf numFmtId="0" fontId="4" fillId="8" borderId="6" xfId="0" applyNumberFormat="1" applyFont="1" applyFill="1" applyBorder="1"/>
    <x:xf numFmtId="0" fontId="4" fillId="8" borderId="14" xfId="0" applyNumberFormat="1" applyFont="1" applyFill="1" applyBorder="1"/>
    <x:xf numFmtId="0" fontId="4" fillId="8" borderId="3" xfId="0" applyNumberFormat="1" applyFont="1" applyFill="1" applyBorder="1"/>
    <x:xf numFmtId="0" fontId="4" fillId="8" borderId="5" xfId="0" applyNumberFormat="1" applyFont="1" applyFill="1" applyBorder="1"/>
    <x:xf numFmtId="0" fontId="4" fillId="8" borderId="7" xfId="0" applyNumberFormat="1" applyFont="1" applyFill="1" applyBorder="1"/>
    <x:xf numFmtId="204" fontId="4" fillId="8" borderId="2" xfId="0" applyNumberFormat="1" applyFont="1" applyFill="1" applyBorder="1"/>
    <x:xf numFmtId="204" fontId="4" fillId="8" borderId="4" xfId="0" applyNumberFormat="1" applyFont="1" applyFill="1" applyBorder="1"/>
    <x:xf numFmtId="204" fontId="4" fillId="8" borderId="6" xfId="0" applyNumberFormat="1" applyFont="1" applyFill="1" applyBorder="1"/>
    <x:xf numFmtId="200" fontId="4" fillId="8" borderId="13" xfId="0" applyNumberFormat="1" applyFont="1" applyFill="1" applyBorder="1"/>
    <x:xf numFmtId="200" fontId="4" fillId="8" borderId="1" xfId="0" applyNumberFormat="1" applyFont="1" applyFill="1" applyBorder="1"/>
    <x:xf numFmtId="200" fontId="4" fillId="8" borderId="14" xfId="0" applyNumberFormat="1" applyFont="1" applyFill="1" applyBorder="1"/>
    <x:xf numFmtId="202" fontId="4" fillId="3" borderId="13" xfId="0" applyNumberFormat="1" applyFont="1" applyFill="1" applyBorder="1"/>
    <x:xf numFmtId="202" fontId="4" fillId="3" borderId="1" xfId="0" applyNumberFormat="1" applyFont="1" applyFill="1" applyBorder="1"/>
    <x:xf numFmtId="202" fontId="4" fillId="3" borderId="14" xfId="0" applyNumberFormat="1" applyFont="1" applyFill="1" applyBorder="1"/>
    <x:xf numFmtId="200" fontId="4" fillId="3" borderId="14" xfId="0" applyNumberFormat="1" applyFont="1" applyFill="1" applyBorder="1"/>
    <x:xf numFmtId="0" fontId="4" fillId="7" borderId="2" xfId="0" applyNumberFormat="1" applyFont="1" applyFill="1" applyBorder="1" applyAlignment="1">
      <x:alignment vertical="top"/>
    </x:xf>
    <x:xf numFmtId="0" fontId="4" fillId="7" borderId="13" xfId="0" applyNumberFormat="1" applyFont="1" applyFill="1" applyBorder="1" applyAlignment="1">
      <x:alignment vertical="top"/>
    </x:xf>
    <x:xf numFmtId="0" fontId="4" fillId="7" borderId="3" xfId="0" applyNumberFormat="1" applyFont="1" applyFill="1" applyBorder="1" applyAlignment="1">
      <x:alignment vertical="top"/>
    </x:xf>
    <x:xf numFmtId="0" fontId="4" fillId="7" borderId="4" xfId="0" applyNumberFormat="1" applyFont="1" applyFill="1" applyBorder="1" applyAlignment="1">
      <x:alignment vertical="top"/>
    </x:xf>
    <x:xf numFmtId="0" fontId="4" fillId="7" borderId="1" xfId="0" applyNumberFormat="1" applyFont="1" applyFill="1" applyBorder="1" applyAlignment="1">
      <x:alignment vertical="top"/>
    </x:xf>
    <x:xf numFmtId="0" fontId="4" fillId="7" borderId="5" xfId="0" applyNumberFormat="1" applyFont="1" applyFill="1" applyBorder="1" applyAlignment="1">
      <x:alignment vertical="top"/>
    </x:xf>
    <x:xf numFmtId="0" fontId="4" fillId="7" borderId="6" xfId="0" applyNumberFormat="1" applyFont="1" applyFill="1" applyBorder="1" applyAlignment="1">
      <x:alignment vertical="top"/>
    </x:xf>
    <x:xf numFmtId="0" fontId="4" fillId="7" borderId="14" xfId="0" applyNumberFormat="1" applyFont="1" applyFill="1" applyBorder="1" applyAlignment="1">
      <x:alignment vertical="top"/>
    </x:xf>
    <x:xf numFmtId="0" fontId="4" fillId="7" borderId="7" xfId="0" applyNumberFormat="1" applyFont="1" applyFill="1" applyBorder="1" applyAlignment="1">
      <x:alignment vertical="top"/>
    </x:xf>
    <x:xf numFmtId="0" fontId="4" fillId="8" borderId="2" xfId="0" applyNumberFormat="1" applyFont="1" applyFill="1" applyBorder="1" applyAlignment="1">
      <x:alignment vertical="top"/>
    </x:xf>
    <x:xf numFmtId="0" fontId="4" fillId="8" borderId="13" xfId="0" applyNumberFormat="1" applyFont="1" applyFill="1" applyBorder="1" applyAlignment="1">
      <x:alignment vertical="top"/>
    </x:xf>
    <x:xf numFmtId="0" fontId="4" fillId="8" borderId="4" xfId="0" applyNumberFormat="1" applyFont="1" applyFill="1" applyBorder="1" applyAlignment="1">
      <x:alignment vertical="top"/>
    </x:xf>
    <x:xf numFmtId="0" fontId="4" fillId="8" borderId="1" xfId="0" applyNumberFormat="1" applyFont="1" applyFill="1" applyBorder="1" applyAlignment="1">
      <x:alignment vertical="top"/>
    </x:xf>
    <x:xf numFmtId="0" fontId="4" fillId="8" borderId="6" xfId="0" applyNumberFormat="1" applyFont="1" applyFill="1" applyBorder="1" applyAlignment="1">
      <x:alignment vertical="top"/>
    </x:xf>
    <x:xf numFmtId="0" fontId="4" fillId="8" borderId="14" xfId="0" applyNumberFormat="1" applyFont="1" applyFill="1" applyBorder="1" applyAlignment="1">
      <x:alignment vertical="top"/>
    </x:xf>
    <x:xf numFmtId="0" fontId="4" fillId="3" borderId="13" xfId="0" applyNumberFormat="1" applyFont="1" applyFill="1" applyBorder="1" applyAlignment="1">
      <x:alignment vertical="top"/>
    </x:xf>
    <x:xf numFmtId="0" fontId="4" fillId="3" borderId="1" xfId="0" applyNumberFormat="1" applyFont="1" applyFill="1" applyBorder="1" applyAlignment="1">
      <x:alignment vertical="top"/>
    </x:xf>
    <x:xf numFmtId="0" fontId="4" fillId="3" borderId="14" xfId="0" applyNumberFormat="1" applyFont="1" applyFill="1" applyBorder="1" applyAlignment="1">
      <x:alignment vertical="top"/>
    </x:xf>
    <x:xf numFmtId="0" fontId="4" fillId="3" borderId="3" xfId="0" applyNumberFormat="1" applyFont="1" applyFill="1" applyBorder="1" applyAlignment="1">
      <x:alignment vertical="top"/>
    </x:xf>
    <x:xf numFmtId="0" fontId="4" fillId="3" borderId="5" xfId="0" applyNumberFormat="1" applyFont="1" applyFill="1" applyBorder="1" applyAlignment="1">
      <x:alignment vertical="top"/>
    </x:xf>
    <x:xf numFmtId="0" fontId="4" fillId="3" borderId="7" xfId="0" applyNumberFormat="1" applyFont="1" applyFill="1" applyBorder="1" applyAlignment="1">
      <x:alignment vertical="top"/>
    </x:xf>
    <x:xf numFmtId="204" fontId="4" fillId="8" borderId="13" xfId="0" applyNumberFormat="1" applyFont="1" applyFill="1" applyBorder="1" applyAlignment="1">
      <x:alignment vertical="top"/>
    </x:xf>
    <x:xf numFmtId="204" fontId="4" fillId="8" borderId="1" xfId="0" applyNumberFormat="1" applyFont="1" applyFill="1" applyBorder="1" applyAlignment="1">
      <x:alignment vertical="top"/>
    </x:xf>
    <x:xf numFmtId="204" fontId="4" fillId="8" borderId="14" xfId="0" applyNumberFormat="1" applyFont="1" applyFill="1" applyBorder="1" applyAlignment="1">
      <x:alignment vertical="top"/>
    </x:xf>
    <x:xf numFmtId="200" fontId="4" fillId="8" borderId="13" xfId="0" applyNumberFormat="1" applyFont="1" applyFill="1" applyBorder="1" applyAlignment="1">
      <x:alignment vertical="top"/>
    </x:xf>
    <x:xf numFmtId="200" fontId="4" fillId="3" borderId="13" xfId="0" applyNumberFormat="1" applyFont="1" applyFill="1" applyBorder="1" applyAlignment="1">
      <x:alignment vertical="top"/>
    </x:xf>
    <x:xf numFmtId="200" fontId="4" fillId="8" borderId="1" xfId="0" applyNumberFormat="1" applyFont="1" applyFill="1" applyBorder="1" applyAlignment="1">
      <x:alignment vertical="top"/>
    </x:xf>
    <x:xf numFmtId="200" fontId="4" fillId="3" borderId="1" xfId="0" applyNumberFormat="1" applyFont="1" applyFill="1" applyBorder="1" applyAlignment="1">
      <x:alignment vertical="top"/>
    </x:xf>
    <x:xf numFmtId="200" fontId="4" fillId="8" borderId="14" xfId="0" applyNumberFormat="1" applyFont="1" applyFill="1" applyBorder="1" applyAlignment="1">
      <x:alignment vertical="top"/>
    </x:xf>
    <x:xf numFmtId="200" fontId="4" fillId="3" borderId="14" xfId="0" applyNumberFormat="1" applyFont="1" applyFill="1" applyBorder="1" applyAlignment="1">
      <x:alignment vertical="top"/>
    </x:xf>
    <x:xf numFmtId="202" fontId="4" fillId="3" borderId="13" xfId="0" applyNumberFormat="1" applyFont="1" applyFill="1" applyBorder="1" applyAlignment="1">
      <x:alignment vertical="top"/>
    </x:xf>
    <x:xf numFmtId="202" fontId="4" fillId="3" borderId="1" xfId="0" applyNumberFormat="1" applyFont="1" applyFill="1" applyBorder="1" applyAlignment="1">
      <x:alignment vertical="top"/>
    </x:xf>
    <x:xf numFmtId="202" fontId="4" fillId="3" borderId="14" xfId="0" applyNumberFormat="1" applyFont="1" applyFill="1" applyBorder="1" applyAlignment="1">
      <x:alignment vertical="top"/>
    </x:xf>
    <x:xf numFmtId="200" fontId="4" fillId="3" borderId="3" xfId="0" applyNumberFormat="1" applyFont="1" applyFill="1" applyBorder="1" applyAlignment="1">
      <x:alignment vertical="top"/>
    </x:xf>
    <x:xf numFmtId="200" fontId="4" fillId="3" borderId="5" xfId="0" applyNumberFormat="1" applyFont="1" applyFill="1" applyBorder="1" applyAlignment="1">
      <x:alignment vertical="top"/>
    </x:xf>
    <x:xf numFmtId="200" fontId="4" fillId="3" borderId="7" xfId="0" applyNumberFormat="1" applyFont="1" applyFill="1" applyBorder="1" applyAlignment="1">
      <x:alignment vertical="top"/>
    </x:xf>
    <x:xf numFmtId="0" fontId="4" fillId="8" borderId="2" xfId="0" applyNumberFormat="1" applyFont="1" applyFill="1" applyBorder="1" applyAlignment="1">
      <x:alignment vertical="top" wrapText="1"/>
    </x:xf>
    <x:xf numFmtId="204" fontId="4" fillId="8" borderId="13" xfId="0" applyNumberFormat="1" applyFont="1" applyFill="1" applyBorder="1" applyAlignment="1">
      <x:alignment vertical="top" wrapText="1"/>
    </x:xf>
    <x:xf numFmtId="0" fontId="4" fillId="8" borderId="13" xfId="0" applyNumberFormat="1" applyFont="1" applyFill="1" applyBorder="1" applyAlignment="1">
      <x:alignment vertical="top" wrapText="1"/>
    </x:xf>
    <x:xf numFmtId="200" fontId="4" fillId="8" borderId="13" xfId="0" applyNumberFormat="1" applyFont="1" applyFill="1" applyBorder="1" applyAlignment="1">
      <x:alignment vertical="top" wrapText="1"/>
    </x:xf>
    <x:xf numFmtId="200" fontId="4" fillId="3" borderId="13" xfId="0" applyNumberFormat="1" applyFont="1" applyFill="1" applyBorder="1" applyAlignment="1">
      <x:alignment vertical="top" wrapText="1"/>
    </x:xf>
    <x:xf numFmtId="202" fontId="4" fillId="3" borderId="13" xfId="0" applyNumberFormat="1" applyFont="1" applyFill="1" applyBorder="1" applyAlignment="1">
      <x:alignment vertical="top" wrapText="1"/>
    </x:xf>
    <x:xf numFmtId="0" fontId="4" fillId="3" borderId="13" xfId="0" applyNumberFormat="1" applyFont="1" applyFill="1" applyBorder="1" applyAlignment="1">
      <x:alignment vertical="top" wrapText="1"/>
    </x:xf>
    <x:xf numFmtId="200" fontId="4" fillId="3" borderId="3" xfId="0" applyNumberFormat="1" applyFont="1" applyFill="1" applyBorder="1" applyAlignment="1">
      <x:alignment vertical="top" wrapText="1"/>
    </x:xf>
    <x:xf numFmtId="0" fontId="4" fillId="8" borderId="4" xfId="0" applyNumberFormat="1" applyFont="1" applyFill="1" applyBorder="1" applyAlignment="1">
      <x:alignment vertical="top" wrapText="1"/>
    </x:xf>
    <x:xf numFmtId="204" fontId="4" fillId="8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200" fontId="4" fillId="8" borderId="1" xfId="0" applyNumberFormat="1" applyFont="1" applyFill="1" applyBorder="1" applyAlignment="1">
      <x:alignment vertical="top" wrapText="1"/>
    </x:xf>
    <x:xf numFmtId="200" fontId="4" fillId="3" borderId="1" xfId="0" applyNumberFormat="1" applyFont="1" applyFill="1" applyBorder="1" applyAlignment="1">
      <x:alignment vertical="top" wrapText="1"/>
    </x:xf>
    <x:xf numFmtId="202" fontId="4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200" fontId="4" fillId="3" borderId="5" xfId="0" applyNumberFormat="1" applyFont="1" applyFill="1" applyBorder="1" applyAlignment="1">
      <x:alignment vertical="top" wrapText="1"/>
    </x:xf>
    <x:xf numFmtId="0" fontId="4" fillId="8" borderId="6" xfId="0" applyNumberFormat="1" applyFont="1" applyFill="1" applyBorder="1" applyAlignment="1">
      <x:alignment vertical="top" wrapText="1"/>
    </x:xf>
    <x:xf numFmtId="204" fontId="4" fillId="8" borderId="14" xfId="0" applyNumberFormat="1" applyFont="1" applyFill="1" applyBorder="1" applyAlignment="1">
      <x:alignment vertical="top" wrapText="1"/>
    </x:xf>
    <x:xf numFmtId="0" fontId="4" fillId="8" borderId="14" xfId="0" applyNumberFormat="1" applyFont="1" applyFill="1" applyBorder="1" applyAlignment="1">
      <x:alignment vertical="top" wrapText="1"/>
    </x:xf>
    <x:xf numFmtId="200" fontId="4" fillId="8" borderId="14" xfId="0" applyNumberFormat="1" applyFont="1" applyFill="1" applyBorder="1" applyAlignment="1">
      <x:alignment vertical="top" wrapText="1"/>
    </x:xf>
    <x:xf numFmtId="200" fontId="4" fillId="3" borderId="14" xfId="0" applyNumberFormat="1" applyFont="1" applyFill="1" applyBorder="1" applyAlignment="1">
      <x:alignment vertical="top" wrapText="1"/>
    </x:xf>
    <x:xf numFmtId="202" fontId="4" fillId="3" borderId="14" xfId="0" applyNumberFormat="1" applyFont="1" applyFill="1" applyBorder="1" applyAlignment="1">
      <x:alignment vertical="top" wrapText="1"/>
    </x:xf>
    <x:xf numFmtId="0" fontId="4" fillId="3" borderId="14" xfId="0" applyNumberFormat="1" applyFont="1" applyFill="1" applyBorder="1" applyAlignment="1">
      <x:alignment vertical="top" wrapText="1"/>
    </x:xf>
    <x:xf numFmtId="200" fontId="4" fillId="3" borderId="7" xfId="0" applyNumberFormat="1" applyFont="1" applyFill="1" applyBorder="1" applyAlignment="1">
      <x:alignment vertical="top" wrapText="1"/>
    </x:xf>
    <x:xf numFmtId="0" fontId="4" fillId="7" borderId="13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wrapText="1"/>
    </x:xf>
    <x:xf numFmtId="0" fontId="4" fillId="7" borderId="14" xfId="0" applyNumberFormat="1" applyFont="1" applyFill="1" applyBorder="1" applyAlignment="1">
      <x:alignment wrapText="1"/>
    </x:xf>
    <x:xf numFmtId="0" fontId="4" fillId="8" borderId="2" xfId="0" applyNumberFormat="1" applyFont="1" applyFill="1" applyBorder="1" applyAlignment="1">
      <x:alignment wrapText="1"/>
    </x:xf>
    <x:xf numFmtId="0" fontId="4" fillId="8" borderId="4" xfId="0" applyNumberFormat="1" applyFont="1" applyFill="1" applyBorder="1" applyAlignment="1">
      <x:alignment wrapText="1"/>
    </x:xf>
    <x:xf numFmtId="0" fontId="4" fillId="8" borderId="6" xfId="0" applyNumberFormat="1" applyFont="1" applyFill="1" applyBorder="1" applyAlignment="1">
      <x:alignment wrapText="1"/>
    </x:xf>
    <x:xf numFmtId="0" fontId="4" fillId="8" borderId="3" xfId="0" applyNumberFormat="1" applyFont="1" applyFill="1" applyBorder="1" applyAlignment="1">
      <x:alignment wrapText="1"/>
    </x:xf>
    <x:xf numFmtId="0" fontId="4" fillId="8" borderId="5" xfId="0" applyNumberFormat="1" applyFont="1" applyFill="1" applyBorder="1" applyAlignment="1">
      <x:alignment wrapText="1"/>
    </x:xf>
    <x:xf numFmtId="0" fontId="4" fillId="8" borderId="7" xfId="0" applyNumberFormat="1" applyFont="1" applyFill="1" applyBorder="1" applyAlignment="1">
      <x:alignment wrapText="1"/>
    </x:xf>
    <x:xf numFmtId="0" fontId="4" fillId="3" borderId="1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204" fontId="4" fillId="8" borderId="13" xfId="0" applyNumberFormat="1" applyFont="1" applyFill="1" applyBorder="1" applyAlignment="1">
      <x:alignment wrapText="1"/>
    </x:xf>
    <x:xf numFmtId="204" fontId="4" fillId="8" borderId="1" xfId="0" applyNumberFormat="1" applyFont="1" applyFill="1" applyBorder="1" applyAlignment="1">
      <x:alignment wrapText="1"/>
    </x:xf>
    <x:xf numFmtId="204" fontId="4" fillId="8" borderId="14" xfId="0" applyNumberFormat="1" applyFont="1" applyFill="1" applyBorder="1" applyAlignment="1">
      <x:alignment wrapText="1"/>
    </x:xf>
    <x:xf numFmtId="200" fontId="4" fillId="8" borderId="1" xfId="0" applyNumberFormat="1" applyFont="1" applyFill="1" applyBorder="1" applyAlignment="1">
      <x:alignment wrapText="1"/>
    </x:xf>
    <x:xf numFmtId="200" fontId="4" fillId="8" borderId="14" xfId="0" applyNumberFormat="1" applyFont="1" applyFill="1" applyBorder="1" applyAlignment="1">
      <x:alignment wrapText="1"/>
    </x:xf>
    <x:xf numFmtId="202" fontId="4" fillId="3" borderId="13" xfId="0" applyNumberFormat="1" applyFont="1" applyFill="1" applyBorder="1" applyAlignment="1">
      <x:alignment wrapText="1"/>
    </x:xf>
    <x:xf numFmtId="202" fontId="4" fillId="3" borderId="1" xfId="0" applyNumberFormat="1" applyFont="1" applyFill="1" applyBorder="1" applyAlignment="1">
      <x:alignment wrapText="1"/>
    </x:xf>
    <x:xf numFmtId="202" fontId="4" fillId="3" borderId="14" xfId="0" applyNumberFormat="1" applyFont="1" applyFill="1" applyBorder="1" applyAlignment="1">
      <x:alignment wrapText="1"/>
    </x:xf>
    <x:xf numFmtId="203" fontId="4" fillId="5" borderId="5" xfId="0" applyNumberFormat="1" applyFont="1" applyFill="1" applyBorder="1"/>
    <x:xf numFmtId="200" fontId="4" fillId="5" borderId="3" xfId="0" applyNumberFormat="1" applyFont="1" applyFill="1" applyBorder="1"/>
    <x:xf numFmtId="200" fontId="4" fillId="5" borderId="5" xfId="0" applyNumberFormat="1" applyFont="1" applyFill="1" applyBorder="1"/>
    <x:xf numFmtId="202" fontId="4" fillId="5" borderId="5" xfId="0" applyNumberFormat="1" applyFont="1" applyFill="1" applyBorder="1"/>
    <x:xf numFmtId="200" fontId="4" fillId="5" borderId="7" xfId="0" applyNumberFormat="1" applyFont="1" applyFill="1" applyBorder="1"/>
    <x:xf numFmtId="202" fontId="4" fillId="5" borderId="3" xfId="0" applyNumberFormat="1" applyFont="1" applyFill="1" applyBorder="1"/>
    <x:xf numFmtId="202" fontId="4" fillId="5" borderId="7" xfId="0" applyNumberFormat="1" applyFont="1" applyFill="1" applyBorder="1"/>
    <x:xf numFmtId="200" fontId="4" fillId="7" borderId="3" xfId="0" applyNumberFormat="1" applyFont="1" applyFill="1" applyBorder="1"/>
    <x:xf numFmtId="200" fontId="4" fillId="7" borderId="7" xfId="0" applyNumberFormat="1" applyFont="1" applyFill="1" applyBorder="1"/>
    <x:xf numFmtId="203" fontId="4" fillId="7" borderId="13" xfId="0" applyNumberFormat="1" applyFont="1" applyFill="1" applyBorder="1"/>
    <x:xf numFmtId="203" fontId="4" fillId="7" borderId="1" xfId="0" applyNumberFormat="1" applyFont="1" applyFill="1" applyBorder="1"/>
    <x:xf numFmtId="203" fontId="4" fillId="7" borderId="14" xfId="0" applyNumberFormat="1" applyFont="1" applyFill="1" applyBorder="1"/>
    <x:xf numFmtId="202" fontId="4" fillId="7" borderId="3" xfId="0" applyNumberFormat="1" applyFont="1" applyFill="1" applyBorder="1"/>
    <x:xf numFmtId="202" fontId="4" fillId="7" borderId="5" xfId="0" applyNumberFormat="1" applyFont="1" applyFill="1" applyBorder="1"/>
    <x:xf numFmtId="202" fontId="4" fillId="7" borderId="7" xfId="0" applyNumberFormat="1" applyFont="1" applyFill="1" applyBorder="1"/>
    <x:xf numFmtId="200" fontId="4" fillId="7" borderId="5" xfId="0" applyNumberFormat="1" applyFont="1" applyFill="1" applyBorder="1"/>
    <x:xf numFmtId="0" fontId="7" fillId="8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200" fontId="4" fillId="5" borderId="3" xfId="0" applyNumberFormat="1" applyFont="1" applyFill="1" applyBorder="1" applyAlignment="1">
      <x:alignment vertical="center"/>
    </x:xf>
    <x:xf numFmtId="202" fontId="4" fillId="5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2" fontId="4" fillId="5" borderId="5" xfId="0" applyNumberFormat="1" applyFont="1" applyFill="1" applyBorder="1" applyAlignment="1">
      <x:alignment vertical="center"/>
    </x:xf>
    <x:xf numFmtId="203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200" fontId="4" fillId="5" borderId="7" xfId="0" applyNumberFormat="1" applyFont="1" applyFill="1" applyBorder="1" applyAlignment="1">
      <x:alignment vertical="center"/>
    </x:xf>
    <x:xf numFmtId="202" fontId="4" fillId="5" borderId="7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7" borderId="2" xfId="0" applyNumberFormat="1" applyFont="1" applyFill="1" applyBorder="1" applyAlignment="1">
      <x:alignment vertical="center"/>
    </x:xf>
    <x:xf numFmtId="0" fontId="4" fillId="7" borderId="13" xfId="0" applyNumberFormat="1" applyFont="1" applyFill="1" applyBorder="1" applyAlignment="1">
      <x:alignment vertical="center"/>
    </x:xf>
    <x:xf numFmtId="200" fontId="4" fillId="7" borderId="3" xfId="0" applyNumberFormat="1" applyFont="1" applyFill="1" applyBorder="1" applyAlignment="1">
      <x:alignment vertical="center"/>
    </x:xf>
    <x:xf numFmtId="203" fontId="4" fillId="7" borderId="13" xfId="0" applyNumberFormat="1" applyFont="1" applyFill="1" applyBorder="1" applyAlignment="1">
      <x:alignment vertical="center"/>
    </x:xf>
    <x:xf numFmtId="202" fontId="4" fillId="7" borderId="3" xfId="0" applyNumberFormat="1" applyFont="1" applyFill="1" applyBorder="1" applyAlignment="1">
      <x:alignment vertical="center"/>
    </x:xf>
    <x:xf numFmtId="0" fontId="4" fillId="7" borderId="6" xfId="0" applyNumberFormat="1" applyFont="1" applyFill="1" applyBorder="1" applyAlignment="1">
      <x:alignment vertical="center"/>
    </x:xf>
    <x:xf numFmtId="0" fontId="4" fillId="7" borderId="14" xfId="0" applyNumberFormat="1" applyFont="1" applyFill="1" applyBorder="1" applyAlignment="1">
      <x:alignment vertical="center"/>
    </x:xf>
    <x:xf numFmtId="200" fontId="4" fillId="7" borderId="7" xfId="0" applyNumberFormat="1" applyFont="1" applyFill="1" applyBorder="1" applyAlignment="1">
      <x:alignment vertical="center"/>
    </x:xf>
    <x:xf numFmtId="0" fontId="4" fillId="7" borderId="4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203" fontId="4" fillId="7" borderId="1" xfId="0" applyNumberFormat="1" applyFont="1" applyFill="1" applyBorder="1" applyAlignment="1">
      <x:alignment vertical="center"/>
    </x:xf>
    <x:xf numFmtId="202" fontId="4" fillId="7" borderId="5" xfId="0" applyNumberFormat="1" applyFont="1" applyFill="1" applyBorder="1" applyAlignment="1">
      <x:alignment vertical="center"/>
    </x:xf>
    <x:xf numFmtId="200" fontId="4" fillId="7" borderId="5" xfId="0" applyNumberFormat="1" applyFont="1" applyFill="1" applyBorder="1" applyAlignment="1">
      <x:alignment vertical="center"/>
    </x:xf>
    <x:xf numFmtId="203" fontId="4" fillId="7" borderId="14" xfId="0" applyNumberFormat="1" applyFont="1" applyFill="1" applyBorder="1" applyAlignment="1">
      <x:alignment vertical="center"/>
    </x:xf>
    <x:xf numFmtId="202" fontId="4" fillId="7" borderId="7" xfId="0" applyNumberFormat="1" applyFont="1" applyFill="1" applyBorder="1" applyAlignment="1">
      <x:alignment vertical="center"/>
    </x:xf>
    <x:xf numFmtId="205" fontId="4" fillId="5" borderId="5" xfId="0" applyNumberFormat="1" applyFont="1" applyFill="1" applyBorder="1" applyAlignment="1">
      <x:alignment vertical="center"/>
    </x:xf>
    <x:xf numFmtId="205" fontId="4" fillId="5" borderId="7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/>
    </x:xf>
    <x:xf numFmtId="200" fontId="9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15" xfId="0" applyNumberFormat="1" applyFont="1" applyFill="1" applyBorder="1"/>
    <x:xf numFmtId="0" fontId="10" fillId="11" borderId="15" xfId="0" applyNumberFormat="1" applyFont="1" applyFill="1" applyBorder="1" applyAlignment="1">
      <x:alignment wrapText="1"/>
    </x:xf>
    <x:xf numFmtId="0" fontId="10" fillId="11" borderId="15" xfId="0" applyNumberFormat="1" applyFont="1" applyFill="1" applyBorder="1" applyAlignment="1">
      <x:alignment vertical="center" wrapText="1"/>
    </x:xf>
    <x:xf numFmtId="0" fontId="11" fillId="11" borderId="15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left"/>
    </x:xf>
    <x:xf numFmtId="0" fontId="12" fillId="12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wrapText="1"/>
    </x:xf>
    <x:xf numFmtId="0" fontId="13" fillId="13" borderId="0" xfId="0" applyNumberFormat="1" applyFont="1" applyFill="1" applyBorder="1" applyAlignment="1">
      <x:alignment horizontal="left" wrapText="1"/>
    </x:xf>
    <x:xf numFmtId="0" fontId="13" fillId="13" borderId="0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/>
    <x:xf numFmtId="0" fontId="14" fillId="14" borderId="0" xfId="0" applyNumberFormat="1" applyFont="1" applyFill="1" applyBorder="1"/>
    <x:xf numFmtId="0" fontId="14" fillId="14" borderId="15" xfId="0" applyNumberFormat="1" applyFont="1" applyFill="1" applyBorder="1"/>
    <x:xf numFmtId="0" fontId="14" fillId="14" borderId="15" xfId="0" applyNumberFormat="1" applyFont="1" applyFill="1" applyBorder="1" applyAlignment="1">
      <x:alignment wrapText="1"/>
    </x:xf>
    <x:xf numFmtId="0" fontId="14" fillId="14" borderId="15" xfId="0" applyNumberFormat="1" applyFont="1" applyFill="1" applyBorder="1" applyAlignment="1">
      <x:alignment horizontal="center" wrapText="1"/>
    </x:xf>
    <x:xf numFmtId="0" fontId="14" fillId="14" borderId="15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15" xfId="0" applyNumberFormat="1" applyFont="1" applyFill="1" applyBorder="1"/>
    <x:xf numFmtId="0" fontId="10" fillId="0" borderId="15" xfId="0" applyNumberFormat="1" applyFont="1" applyFill="1" applyBorder="1" applyAlignment="1">
      <x:alignment wrapText="1"/>
    </x:xf>
    <x:xf numFmtId="0" fontId="10" fillId="0" borderId="15" xfId="0" applyNumberFormat="1" applyFont="1" applyFill="1" applyBorder="1" applyAlignment="1">
      <x:alignment vertical="center" wrapText="1"/>
    </x:xf>
    <x:xf numFmtId="0" fontId="10" fillId="15" borderId="15" xfId="0" applyNumberFormat="1" applyFont="1" applyFill="1" applyBorder="1" applyAlignment="1">
      <x:alignment vertical="center" wrapText="1"/>
    </x:xf>
    <x:xf numFmtId="0" fontId="10" fillId="16" borderId="15" xfId="0" applyNumberFormat="1" applyFont="1" applyFill="1" applyBorder="1" applyAlignment="1">
      <x:alignment vertical="center" wrapText="1"/>
    </x:xf>
    <x:xf numFmtId="0" fontId="15" fillId="16" borderId="15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6" fillId="17" borderId="0" xfId="0" applyNumberFormat="1" applyFont="1" applyFill="1" applyBorder="1"/>
    <x:xf numFmtId="0" fontId="16" fillId="17" borderId="0" xfId="0" applyNumberFormat="1" applyFont="1" applyFill="1" applyBorder="1" applyAlignment="1">
      <x:alignment vertical="center"/>
    </x:xf>
    <x:xf numFmtId="0" fontId="10" fillId="18" borderId="15" xfId="0" applyNumberFormat="1" applyFont="1" applyFill="1" applyBorder="1" applyAlignment="1">
      <x:alignment vertical="center" wrapText="1"/>
    </x:xf>
    <x:xf numFmtId="0" fontId="17" fillId="18" borderId="15" xfId="0" applyNumberFormat="1" applyFont="1" applyFill="1" applyBorder="1" applyAlignment="1">
      <x:alignment vertical="center" wrapText="1"/>
    </x:xf>
    <x:xf numFmtId="0" fontId="10" fillId="15" borderId="15" xfId="0" applyNumberFormat="1" applyFont="1" applyFill="1" applyBorder="1" applyAlignment="1">
      <x:alignment horizontal="center" vertical="center" wrapText="1"/>
    </x:xf>
    <x:xf numFmtId="0" fontId="18" fillId="13" borderId="0" xfId="0" applyNumberFormat="1" applyFont="1" applyFill="1" applyBorder="1"/>
    <x:xf numFmtId="0" fontId="18" fillId="13" borderId="16" xfId="0" applyNumberFormat="1" applyFont="1" applyFill="1" applyBorder="1"/>
    <x:xf numFmtId="0" fontId="18" fillId="13" borderId="17" xfId="0" applyNumberFormat="1" applyFont="1" applyFill="1" applyBorder="1"/>
    <x:xf numFmtId="0" fontId="18" fillId="13" borderId="18" xfId="0" applyNumberFormat="1" applyFont="1" applyFill="1" applyBorder="1"/>
    <x:xf numFmtId="0" fontId="18" fillId="13" borderId="19" xfId="0" applyNumberFormat="1" applyFont="1" applyFill="1" applyBorder="1"/>
    <x:xf numFmtId="0" fontId="18" fillId="13" xfId="0" applyNumberFormat="1" applyFont="1" applyFill="1" applyBorder="0"/>
    <x:xf numFmtId="0" fontId="18" fillId="13" borderId="20" xfId="0" applyNumberFormat="1" applyFont="1" applyFill="1" applyBorder="1"/>
    <x:xf numFmtId="0" fontId="18" fillId="13" borderId="21" xfId="0" applyNumberFormat="1" applyFont="1" applyFill="1" applyBorder="1"/>
    <x:xf numFmtId="0" fontId="18" fillId="13" borderId="22" xfId="0" applyNumberFormat="1" applyFont="1" applyFill="1" applyBorder="1"/>
    <x:xf numFmtId="0" fontId="18" fillId="13" borderId="23" xfId="0" applyNumberFormat="1" applyFont="1" applyFill="1" applyBorder="1"/>
    <x:xf numFmtId="0" fontId="18" fillId="13" borderId="16" xfId="0" applyNumberFormat="1" applyFont="1" applyFill="1" applyBorder="1" applyAlignment="1">
      <x:alignment wrapText="1"/>
    </x:xf>
    <x:xf numFmtId="0" fontId="18" fillId="13" borderId="17" xfId="0" applyNumberFormat="1" applyFont="1" applyFill="1" applyBorder="1" applyAlignment="1">
      <x:alignment wrapText="1"/>
    </x:xf>
    <x:xf numFmtId="0" fontId="18" fillId="13" borderId="18" xfId="0" applyNumberFormat="1" applyFont="1" applyFill="1" applyBorder="1" applyAlignment="1">
      <x:alignment wrapText="1"/>
    </x:xf>
    <x:xf numFmtId="0" fontId="18" fillId="13" borderId="19" xfId="0" applyNumberFormat="1" applyFont="1" applyFill="1" applyBorder="1" applyAlignment="1">
      <x:alignment wrapText="1"/>
    </x:xf>
    <x:xf numFmtId="0" fontId="18" fillId="13" xfId="0" applyNumberFormat="1" applyFont="1" applyFill="1" applyBorder="0" applyAlignment="1">
      <x:alignment wrapText="1"/>
    </x:xf>
    <x:xf numFmtId="0" fontId="18" fillId="13" borderId="20" xfId="0" applyNumberFormat="1" applyFont="1" applyFill="1" applyBorder="1" applyAlignment="1">
      <x:alignment wrapText="1"/>
    </x:xf>
    <x:xf numFmtId="0" fontId="18" fillId="13" borderId="21" xfId="0" applyNumberFormat="1" applyFont="1" applyFill="1" applyBorder="1" applyAlignment="1">
      <x:alignment wrapText="1"/>
    </x:xf>
    <x:xf numFmtId="0" fontId="18" fillId="13" borderId="22" xfId="0" applyNumberFormat="1" applyFont="1" applyFill="1" applyBorder="1" applyAlignment="1">
      <x:alignment wrapText="1"/>
    </x:xf>
    <x:xf numFmtId="0" fontId="18" fillId="13" borderId="23" xfId="0" applyNumberFormat="1" applyFont="1" applyFill="1" applyBorder="1" applyAlignment="1">
      <x:alignment wrapText="1"/>
    </x:xf>
    <x:xf numFmtId="0" fontId="18" fillId="13" borderId="16" xfId="0" applyNumberFormat="1" applyFont="1" applyFill="1" applyBorder="1" applyAlignment="1">
      <x:alignment horizontal="left" wrapText="1"/>
    </x:xf>
    <x:xf numFmtId="0" fontId="18" fillId="13" borderId="17" xfId="0" applyNumberFormat="1" applyFont="1" applyFill="1" applyBorder="1" applyAlignment="1">
      <x:alignment horizontal="left" wrapText="1"/>
    </x:xf>
    <x:xf numFmtId="0" fontId="18" fillId="13" borderId="18" xfId="0" applyNumberFormat="1" applyFont="1" applyFill="1" applyBorder="1" applyAlignment="1">
      <x:alignment horizontal="left" wrapText="1"/>
    </x:xf>
    <x:xf numFmtId="0" fontId="18" fillId="13" borderId="19" xfId="0" applyNumberFormat="1" applyFont="1" applyFill="1" applyBorder="1" applyAlignment="1">
      <x:alignment horizontal="left" wrapText="1"/>
    </x:xf>
    <x:xf numFmtId="0" fontId="18" fillId="13" xfId="0" applyNumberFormat="1" applyFont="1" applyFill="1" applyBorder="0" applyAlignment="1">
      <x:alignment horizontal="left" wrapText="1"/>
    </x:xf>
    <x:xf numFmtId="0" fontId="18" fillId="13" borderId="20" xfId="0" applyNumberFormat="1" applyFont="1" applyFill="1" applyBorder="1" applyAlignment="1">
      <x:alignment horizontal="left" wrapText="1"/>
    </x:xf>
    <x:xf numFmtId="0" fontId="18" fillId="13" borderId="21" xfId="0" applyNumberFormat="1" applyFont="1" applyFill="1" applyBorder="1" applyAlignment="1">
      <x:alignment horizontal="left" wrapText="1"/>
    </x:xf>
    <x:xf numFmtId="0" fontId="18" fillId="13" borderId="22" xfId="0" applyNumberFormat="1" applyFont="1" applyFill="1" applyBorder="1" applyAlignment="1">
      <x:alignment horizontal="left" wrapText="1"/>
    </x:xf>
    <x:xf numFmtId="0" fontId="18" fillId="13" borderId="23" xfId="0" applyNumberFormat="1" applyFont="1" applyFill="1" applyBorder="1" applyAlignment="1">
      <x:alignment horizontal="left" wrapText="1"/>
    </x:xf>
    <x:xf numFmtId="0" fontId="18" fillId="13" borderId="16" xfId="0" applyNumberFormat="1" applyFont="1" applyFill="1" applyBorder="1" applyAlignment="1">
      <x:alignment horizontal="left" vertical="center" wrapText="1"/>
    </x:xf>
    <x:xf numFmtId="0" fontId="18" fillId="13" borderId="17" xfId="0" applyNumberFormat="1" applyFont="1" applyFill="1" applyBorder="1" applyAlignment="1">
      <x:alignment horizontal="left" vertical="center" wrapText="1"/>
    </x:xf>
    <x:xf numFmtId="0" fontId="18" fillId="13" borderId="18" xfId="0" applyNumberFormat="1" applyFont="1" applyFill="1" applyBorder="1" applyAlignment="1">
      <x:alignment horizontal="left" vertical="center" wrapText="1"/>
    </x:xf>
    <x:xf numFmtId="0" fontId="18" fillId="13" borderId="19" xfId="0" applyNumberFormat="1" applyFont="1" applyFill="1" applyBorder="1" applyAlignment="1">
      <x:alignment horizontal="left" vertical="center" wrapText="1"/>
    </x:xf>
    <x:xf numFmtId="0" fontId="18" fillId="13" xfId="0" applyNumberFormat="1" applyFont="1" applyFill="1" applyBorder="0" applyAlignment="1">
      <x:alignment horizontal="left" vertical="center" wrapText="1"/>
    </x:xf>
    <x:xf numFmtId="0" fontId="18" fillId="13" borderId="20" xfId="0" applyNumberFormat="1" applyFont="1" applyFill="1" applyBorder="1" applyAlignment="1">
      <x:alignment horizontal="left" vertical="center" wrapText="1"/>
    </x:xf>
    <x:xf numFmtId="0" fontId="18" fillId="13" borderId="21" xfId="0" applyNumberFormat="1" applyFont="1" applyFill="1" applyBorder="1" applyAlignment="1">
      <x:alignment horizontal="left" vertical="center" wrapText="1"/>
    </x:xf>
    <x:xf numFmtId="0" fontId="18" fillId="13" borderId="22" xfId="0" applyNumberFormat="1" applyFont="1" applyFill="1" applyBorder="1" applyAlignment="1">
      <x:alignment horizontal="left" vertical="center" wrapText="1"/>
    </x:xf>
    <x:xf numFmtId="0" fontId="18" fillId="13" borderId="23" xfId="0" applyNumberFormat="1" applyFont="1" applyFill="1" applyBorder="1" applyAlignment="1">
      <x:alignment horizontal="left" vertical="center" wrapText="1"/>
    </x:xf>
    <x:xf numFmtId="0" fontId="19" fillId="11" borderId="0" xfId="0" applyNumberFormat="1" applyFont="1" applyFill="1" applyBorder="1"/>
    <x:xf numFmtId="0" fontId="19" fillId="11" borderId="0" xfId="0" applyNumberFormat="1" applyFont="1" applyFill="1" applyBorder="1" applyAlignment="1">
      <x:alignment wrapText="1"/>
    </x:xf>
    <x:xf numFmtId="0" fontId="19" fillId="11" borderId="0" xfId="0" applyNumberFormat="1" applyFont="1" applyFill="1" applyBorder="1" applyAlignment="1">
      <x:alignment vertical="center" wrapText="1"/>
    </x:xf>
    <x:xf numFmtId="0" fontId="10" fillId="19" borderId="15" xfId="0" applyNumberFormat="1" applyFont="1" applyFill="1" applyBorder="1" applyAlignment="1">
      <x:alignment vertical="center" wrapText="1"/>
    </x:xf>
    <x:xf numFmtId="0" fontId="10" fillId="20" borderId="15" xfId="0" applyNumberFormat="1" applyFont="1" applyFill="1" applyBorder="1" applyAlignment="1">
      <x:alignment vertical="center" wrapText="1"/>
    </x:xf>
    <x:xf numFmtId="0" fontId="20" fillId="19" borderId="15" xfId="0" applyNumberFormat="1" applyFont="1" applyFill="1" applyBorder="1" applyAlignment="1">
      <x:alignment vertical="center" wrapText="1"/>
    </x:xf>
    <x:xf numFmtId="0" fontId="21" fillId="17" borderId="0" xfId="0" applyNumberFormat="1" applyFont="1" applyFill="1" applyBorder="1"/>
    <x:xf numFmtId="0" fontId="22" fillId="19" borderId="1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3857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8315159cc2477c" /><Relationship Type="http://schemas.openxmlformats.org/officeDocument/2006/relationships/theme" Target="/xl/theme/theme1.xml" Id="R81ea26e2d2b14c32" /><Relationship Type="http://schemas.openxmlformats.org/officeDocument/2006/relationships/sharedStrings" Target="/xl/sharedStrings.xml" Id="R0f5561e1541b4cde" /><Relationship Type="http://schemas.openxmlformats.org/officeDocument/2006/relationships/worksheet" Target="/xl/worksheets/sheet1.xml" Id="R2555db4465954a03" /><Relationship Type="http://schemas.openxmlformats.org/officeDocument/2006/relationships/worksheet" Target="/xl/worksheets/sheet2.xml" Id="R1bd342f95bdf4d32" /><Relationship Type="http://schemas.openxmlformats.org/officeDocument/2006/relationships/worksheet" Target="/xl/worksheets/sheet3.xml" Id="Rc831cac743fd4aaf" /><Relationship Type="http://schemas.openxmlformats.org/officeDocument/2006/relationships/worksheet" Target="/xl/worksheets/sheet4.xml" Id="R1fab0bbfa9ee4c17" /><Relationship Type="http://schemas.openxmlformats.org/officeDocument/2006/relationships/worksheet" Target="/xl/worksheets/sheet5.xml" Id="R34f634dfb372462d" /><Relationship Type="http://schemas.openxmlformats.org/officeDocument/2006/relationships/worksheet" Target="/xl/worksheets/sheet6.xml" Id="Rb9f13410fd4c4bf2" /><Relationship Type="http://schemas.openxmlformats.org/officeDocument/2006/relationships/worksheet" Target="/xl/worksheets/sheet7.xml" Id="Rf87c83706dd342e1" /><Relationship Type="http://schemas.openxmlformats.org/officeDocument/2006/relationships/worksheet" Target="/xl/worksheets/sheet8.xml" Id="R59d3448e506e4e13" /><Relationship Type="http://schemas.openxmlformats.org/officeDocument/2006/relationships/worksheet" Target="/xl/worksheets/sheet9.xml" Id="R9380e0e5fd9845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29812fcf334185" /><Relationship Type="http://schemas.openxmlformats.org/officeDocument/2006/relationships/chart" Target="/xl/drawings/charts/chart2.xml" Id="R324087bc18b34f5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累计盈亏走势（U）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累计盈亏(U)</c:v>
          </c:tx>
          <c:spPr>
            <a:ln xmlns:a="http://schemas.openxmlformats.org/drawingml/2006/main" w="19050">
              <a:solidFill>
                <a:srgbClr val="2F5597"/>
              </a:solidFill>
              <a:prstDash val="solid"/>
            </a:ln>
          </c:spPr>
          <c:marker>
            <c:symbol val="none"/>
          </c:marker>
          <c:cat>
            <c:strRef>
              <c:f>'统计看板'!$M$14:$M$18</c:f>
              <c:strCache>
                <c:ptCount val="0"/>
              </c:strCache>
            </c:strRef>
          </c:cat>
          <c:val>
            <c:numRef>
              <c:f>'统计看板'!$N$14:$N$18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方向净盈亏（U）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净盈亏(U)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'统计看板'!$A$14:$A$15</c:f>
              <c:strCache>
                <c:ptCount val="0"/>
              </c:strCache>
            </c:strRef>
          </c:cat>
          <c:val>
            <c:numRef>
              <c:f>'统计看板'!$C$14:$C$15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29812fcf334185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4087bc18b34f5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PreMarketPlanTable" displayName="PreMarketPlanTable" ref="A3:S103" headerRowCount="1" totalsRowCount="0" totalsRowShown="0">
  <x:tableColumns count="19">
    <x:tableColumn id="1" name="日期"/>
    <x:tableColumn id="2" name="产品"/>
    <x:tableColumn id="3" name="高周期结构"/>
    <x:tableColumn id="4" name="Dealing Range高"/>
    <x:tableColumn id="5" name="Dealing Range低"/>
    <x:tableColumn id="6" name="当前价"/>
    <x:tableColumn id="7" name="位置"/>
    <x:tableColumn id="8" name="偏向"/>
    <x:tableColumn id="9" name="上方流动性"/>
    <x:tableColumn id="10" name="下方流动性"/>
    <x:tableColumn id="11" name="计划入场"/>
    <x:tableColumn id="12" name="计划止损"/>
    <x:tableColumn id="13" name="计划目标"/>
    <x:tableColumn id="14" name="计划RR"/>
    <x:tableColumn id="15" name="建议仓位(U)"/>
    <x:tableColumn id="16" name="事件风险"/>
    <x:tableColumn id="17" name="Funding/OI说明"/>
    <x:tableColumn id="18" name="禁做条件"/>
    <x:tableColumn id="19" name="盘前完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radeLogTable" displayName="TradeLogTable" ref="A3:AF303" headerRowCount="1" totalsRowCount="0" totalsRowShown="0">
  <x:tableColumns count="32">
    <x:tableColumn id="1" name="交易编号"/>
    <x:tableColumn id="2" name="开仓日期"/>
    <x:tableColumn id="3" name="平仓日期"/>
    <x:tableColumn id="4" name="产品"/>
    <x:tableColumn id="5" name="方向"/>
    <x:tableColumn id="6" name="状态"/>
    <x:tableColumn id="7" name="交易风格"/>
    <x:tableColumn id="8" name="市场环境"/>
    <x:tableColumn id="9" name="高周期偏向"/>
    <x:tableColumn id="10" name="交易时段"/>
    <x:tableColumn id="11" name="触发模型"/>
    <x:tableColumn id="12" name="扫流动性"/>
    <x:tableColumn id="13" name="开仓价"/>
    <x:tableColumn id="14" name="止损价"/>
    <x:tableColumn id="15" name="目标价"/>
    <x:tableColumn id="16" name="平仓价"/>
    <x:tableColumn id="17" name="仓位(U)"/>
    <x:tableColumn id="18" name="手续费(U)"/>
    <x:tableColumn id="19" name="计划风险(U)"/>
    <x:tableColumn id="20" name="计划RR"/>
    <x:tableColumn id="21" name="手动盈亏(U)"/>
    <x:tableColumn id="22" name="最终盈亏(U)"/>
    <x:tableColumn id="23" name="实际R"/>
    <x:tableColumn id="24" name="结果"/>
    <x:tableColumn id="25" name="按计划执行"/>
    <x:tableColumn id="26" name="违规标签"/>
    <x:tableColumn id="27" name="截图链接"/>
    <x:tableColumn id="28" name="交易理由"/>
    <x:tableColumn id="29" name="复盘结论"/>
    <x:tableColumn id="30" name="累计盈亏(U)"/>
    <x:tableColumn id="31" name="权益峰值"/>
    <x:tableColumn id="32" name="回撤(U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BacktestTable" displayName="BacktestTable" ref="A3:T203" headerRowCount="1" totalsRowCount="0" totalsRowShown="0">
  <x:tableColumns count="20">
    <x:tableColumn id="1" name="样本编号"/>
    <x:tableColumn id="2" name="日期"/>
    <x:tableColumn id="3" name="产品"/>
    <x:tableColumn id="4" name="方向"/>
    <x:tableColumn id="5" name="高周期偏向"/>
    <x:tableColumn id="6" name="市场环境"/>
    <x:tableColumn id="7" name="时段"/>
    <x:tableColumn id="8" name="扫流动性"/>
    <x:tableColumn id="9" name="Displacement"/>
    <x:tableColumn id="10" name="MSS"/>
    <x:tableColumn id="11" name="首次FVG回踩"/>
    <x:tableColumn id="12" name="开仓价"/>
    <x:tableColumn id="13" name="止损价"/>
    <x:tableColumn id="14" name="目标价"/>
    <x:tableColumn id="15" name="平仓价"/>
    <x:tableColumn id="16" name="结果"/>
    <x:tableColumn id="17" name="R倍数"/>
    <x:tableColumn id="18" name="模型合格"/>
    <x:tableColumn id="19" name="截图链接"/>
    <x:tableColumn id="20" name="备注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19c49098a694c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836d2814e3c4c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e8364032ce04a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907333cef4814a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4" t="str">
        <x:v>BTC SMC 学习与交易系统 v0.3</x:v>
      </x:c>
      <x:c r="B1" s="4" t="str">
        <x:v>BTC SMC 学习与交易系统 v0.1</x:v>
      </x:c>
      <x:c r="C1" s="4" t="str">
        <x:v>BTC SMC 学习与交易系统 v0.1</x:v>
      </x:c>
      <x:c r="D1" s="4" t="str">
        <x:v>BTC SMC 学习与交易系统 v0.1</x:v>
      </x:c>
      <x:c r="E1" s="4" t="str">
        <x:v>BTC SMC 学习与交易系统 v0.1</x:v>
      </x:c>
      <x:c r="F1" s="4" t="str">
        <x:v>BTC SMC 学习与交易系统 v0.1</x:v>
      </x:c>
      <x:c r="G1" s="4" t="str">
        <x:v>BTC SMC 学习与交易系统 v0.1</x:v>
      </x:c>
      <x:c r="H1" s="4" t="str">
        <x:v>BTC SMC 学习与交易系统 v0.1</x:v>
      </x:c>
    </x:row>
    <x:row r="3" ht="32" customHeight="1">
      <x:c r="A3" s="8" t="str">
        <x:v>核心流程：先定周期角色 → 高周期环境 → 流动性位置 → Sweep → Displacement → MSS → FVG 回踩 → 风险受控执行</x:v>
      </x:c>
      <x:c r="B3" s="8" t="str">
        <x:v>核心流程：高周期环境 → 流动性位置 → Sweep → Displacement → MSS → FVG 回踩 → 风险受控执行</x:v>
      </x:c>
      <x:c r="C3" s="8" t="str">
        <x:v>核心流程：高周期环境 → 流动性位置 → Sweep → Displacement → MSS → FVG 回踩 → 风险受控执行</x:v>
      </x:c>
      <x:c r="D3" s="8" t="str">
        <x:v>核心流程：高周期环境 → 流动性位置 → Sweep → Displacement → MSS → FVG 回踩 → 风险受控执行</x:v>
      </x:c>
      <x:c r="E3" s="8" t="str">
        <x:v>核心流程：高周期环境 → 流动性位置 → Sweep → Displacement → MSS → FVG 回踩 → 风险受控执行</x:v>
      </x:c>
      <x:c r="F3" s="8" t="str">
        <x:v>核心流程：高周期环境 → 流动性位置 → Sweep → Displacement → MSS → FVG 回踩 → 风险受控执行</x:v>
      </x:c>
      <x:c r="G3" s="8" t="str">
        <x:v>核心流程：高周期环境 → 流动性位置 → Sweep → Displacement → MSS → FVG 回踩 → 风险受控执行</x:v>
      </x:c>
      <x:c r="H3" s="8" t="str">
        <x:v>核心流程：高周期环境 → 流动性位置 → Sweep → Displacement → MSS → FVG 回踩 → 风险受控执行</x:v>
      </x:c>
    </x:row>
    <x:row r="5">
      <x:c r="A5" s="14" t="str">
        <x:v>工作表</x:v>
      </x:c>
      <x:c r="B5" s="14" t="str">
        <x:v>用途</x:v>
      </x:c>
      <x:c r="D5" s="37" t="str">
        <x:v>执行纪律</x:v>
      </x:c>
      <x:c r="E5" s="38" t="str">
        <x:v>执行纪律</x:v>
      </x:c>
      <x:c r="F5" s="38" t="str">
        <x:v>执行纪律</x:v>
      </x:c>
      <x:c r="G5" s="38" t="str">
        <x:v>执行纪律</x:v>
      </x:c>
      <x:c r="H5" s="39" t="str">
        <x:v>执行纪律</x:v>
      </x:c>
    </x:row>
    <x:row r="6">
      <x:c r="A6" s="29" t="str">
        <x:v>参数设置</x:v>
      </x:c>
      <x:c r="B6" s="30" t="str">
        <x:v>账户余额、单笔风险、当日止损和最低盈亏比。</x:v>
      </x:c>
      <x:c r="D6" s="59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E6" s="60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F6" s="60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G6" s="60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H6" s="61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</x:row>
    <x:row r="7">
      <x:c r="A7" s="31" t="str">
        <x:v>盘前计划</x:v>
      </x:c>
      <x:c r="B7" s="32" t="str">
        <x:v>记录高周期结构、两侧流动性、场景和禁做条件。</x:v>
      </x:c>
      <x:c r="D7" s="62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E7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F7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G7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H7" s="64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</x:row>
    <x:row r="8">
      <x:c r="A8" s="31" t="str">
        <x:v>交易日志</x:v>
      </x:c>
      <x:c r="B8" s="32" t="str">
        <x:v>记录每笔实盘/模拟交易，自动计算风险、盈亏、R 与回撤。</x:v>
      </x:c>
      <x:c r="D8" s="62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E8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F8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G8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H8" s="64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</x:row>
    <x:row r="9">
      <x:c r="A9" s="31" t="str">
        <x:v>回测记录</x:v>
      </x:c>
      <x:c r="B9" s="32" t="str">
        <x:v>只记录同一个模型的历史回放样本。</x:v>
      </x:c>
      <x:c r="D9" s="62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E9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F9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G9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H9" s="64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</x:row>
    <x:row r="10">
      <x:c r="A10" s="31" t="str">
        <x:v>统计看板</x:v>
      </x:c>
      <x:c r="B10" s="32" t="str">
        <x:v>检查期望值、Profit Factor、最大回撤和执行率。</x:v>
      </x:c>
      <x:c r="D10" s="62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E10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F10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G10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H10" s="64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</x:row>
    <x:row r="11">
      <x:c r="A11" s="33" t="str">
        <x:v>下拉选项</x:v>
      </x:c>
      <x:c r="B11" s="34" t="str">
        <x:v>维护各工作表使用的标准分类。</x:v>
      </x:c>
      <x:c r="D11" s="62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E11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F11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G11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H11" s="64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</x:row>
    <x:row r="12">
      <x:c r="A12" s="288" t="str">
        <x:v>周期框架</x:v>
      </x:c>
      <x:c r="B12" s="287" t="str">
        <x:v>明确方向、场景、触发周期及参考持仓，默认 4H → 1H → 15M。</x:v>
      </x:c>
      <x:c r="D12" s="62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E12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F12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G12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H12" s="64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</x:row>
    <x:row r="13">
      <x:c r="A13" s="288" t="str">
        <x:v>术语速查</x:v>
      </x:c>
      <x:c r="B13" s="287" t="str">
        <x:v>统一订单、合约、钱包、风险与社区黑话的严谨定义。</x:v>
      </x:c>
      <x:c r="D13" s="65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E13" s="66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F13" s="66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G13" s="66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H13" s="67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</x:row>
    <x:row r="14">
      <x:c r="A14" s="37" t="str">
        <x:v>权威资料</x:v>
      </x:c>
      <x:c r="B14" s="38" t="str">
        <x:v>权威资料</x:v>
      </x:c>
      <x:c r="C14" s="38" t="str">
        <x:v>权威资料</x:v>
      </x:c>
      <x:c r="D14" s="38" t="str">
        <x:v>权威资料</x:v>
      </x:c>
      <x:c r="E14" s="38" t="str">
        <x:v>权威资料</x:v>
      </x:c>
      <x:c r="F14" s="38" t="str">
        <x:v>权威资料</x:v>
      </x:c>
      <x:c r="G14" s="38" t="str">
        <x:v>权威资料</x:v>
      </x:c>
      <x:c r="H14" s="39" t="str">
        <x:v>权威资料</x:v>
      </x:c>
    </x:row>
    <x:row r="15">
      <x:c r="A15" s="14" t="str">
        <x:v>主题</x:v>
      </x:c>
      <x:c r="B15" s="14" t="str">
        <x:v>链接</x:v>
      </x:c>
      <x:c r="C15" s="14"/>
      <x:c r="D15" s="14"/>
      <x:c r="E15" s="14"/>
      <x:c r="F15" s="14"/>
      <x:c r="G15" s="14"/>
      <x:c r="H15" s="14"/>
    </x:row>
    <x:row r="16">
      <x:c r="A16" s="78" t="str">
        <x:v>虚拟货币与杠杆风险</x:v>
      </x:c>
      <x:c r="B16" s="79" t="str">
        <x:v>https://www.cftc.gov/LearnAndProtect/AdvisoriesAndArticles/understand_risks_of_virtual_currency.html</x:v>
      </x:c>
      <x:c r="C16" s="79"/>
      <x:c r="D16" s="79"/>
      <x:c r="E16" s="79"/>
      <x:c r="F16" s="79"/>
      <x:c r="G16" s="79"/>
      <x:c r="H16" s="80"/>
    </x:row>
    <x:row r="17">
      <x:c r="A17" s="81" t="str">
        <x:v>永续合约 Funding</x:v>
      </x:c>
      <x:c r="B17" s="82" t="str">
        <x:v>https://help.coinbase.com/en/coinbase/derivatives/funding-rate</x:v>
      </x:c>
      <x:c r="C17" s="82"/>
      <x:c r="D17" s="82"/>
      <x:c r="E17" s="82"/>
      <x:c r="F17" s="82"/>
      <x:c r="G17" s="82"/>
      <x:c r="H17" s="83"/>
    </x:row>
    <x:row r="18">
      <x:c r="A18" s="81" t="str">
        <x:v>市场流动性的衡量</x:v>
      </x:c>
      <x:c r="B18" s="82" t="str">
        <x:v>https://www.cmegroup.com/education/articles-and-reports/how-traders-measure-liquidity</x:v>
      </x:c>
      <x:c r="C18" s="82"/>
      <x:c r="D18" s="82"/>
      <x:c r="E18" s="82"/>
      <x:c r="F18" s="82"/>
      <x:c r="G18" s="82"/>
      <x:c r="H18" s="83"/>
    </x:row>
    <x:row r="19">
      <x:c r="A19" s="84" t="str">
        <x:v>期货市场价格发现</x:v>
      </x:c>
      <x:c r="B19" s="85" t="str">
        <x:v>https://www.cmegroup.com/education/courses/introduction-to-futures/price-discovery</x:v>
      </x:c>
      <x:c r="C19" s="85"/>
      <x:c r="D19" s="85"/>
      <x:c r="E19" s="85"/>
      <x:c r="F19" s="85"/>
      <x:c r="G19" s="85"/>
      <x:c r="H19" s="86"/>
    </x:row>
    <x:row r="21">
      <x:c r="A21" s="90" t="str">
        <x:v>风险提示：本工作簿用于学习和个人研究，不构成投资建议。杠杆会放大损失，任何策略都不存在保证盈利。</x:v>
      </x:c>
      <x:c r="B21" s="90" t="str">
        <x:v>风险提示：本工作簿用于学习和个人研究，不构成投资建议。杠杆会放大损失，任何策略都不存在保证盈利。</x:v>
      </x:c>
      <x:c r="C21" s="90" t="str">
        <x:v>风险提示：本工作簿用于学习和个人研究，不构成投资建议。杠杆会放大损失，任何策略都不存在保证盈利。</x:v>
      </x:c>
      <x:c r="D21" s="90" t="str">
        <x:v>风险提示：本工作簿用于学习和个人研究，不构成投资建议。杠杆会放大损失，任何策略都不存在保证盈利。</x:v>
      </x:c>
      <x:c r="E21" s="90" t="str">
        <x:v>风险提示：本工作簿用于学习和个人研究，不构成投资建议。杠杆会放大损失，任何策略都不存在保证盈利。</x:v>
      </x:c>
      <x:c r="F21" s="90" t="str">
        <x:v>风险提示：本工作簿用于学习和个人研究，不构成投资建议。杠杆会放大损失，任何策略都不存在保证盈利。</x:v>
      </x:c>
      <x:c r="G21" s="90" t="str">
        <x:v>风险提示：本工作簿用于学习和个人研究，不构成投资建议。杠杆会放大损失，任何策略都不存在保证盈利。</x:v>
      </x:c>
      <x:c r="H21" s="90" t="str">
        <x:v>风险提示：本工作簿用于学习和个人研究，不构成投资建议。杠杆会放大损失，任何策略都不存在保证盈利。</x:v>
      </x:c>
    </x:row>
    <x:row r="22">
      <x:c r="A22" s="90" t="str">
        <x:v>风险提示：本工作簿用于学习和个人研究，不构成投资建议。杠杆会放大损失，任何策略都不存在保证盈利。</x:v>
      </x:c>
      <x:c r="B22" s="90" t="str">
        <x:v>风险提示：本工作簿用于学习和个人研究，不构成投资建议。杠杆会放大损失，任何策略都不存在保证盈利。</x:v>
      </x:c>
      <x:c r="C22" s="90" t="str">
        <x:v>风险提示：本工作簿用于学习和个人研究，不构成投资建议。杠杆会放大损失，任何策略都不存在保证盈利。</x:v>
      </x:c>
      <x:c r="D22" s="90" t="str">
        <x:v>风险提示：本工作簿用于学习和个人研究，不构成投资建议。杠杆会放大损失，任何策略都不存在保证盈利。</x:v>
      </x:c>
      <x:c r="E22" s="90" t="str">
        <x:v>风险提示：本工作簿用于学习和个人研究，不构成投资建议。杠杆会放大损失，任何策略都不存在保证盈利。</x:v>
      </x:c>
      <x:c r="F22" s="90" t="str">
        <x:v>风险提示：本工作簿用于学习和个人研究，不构成投资建议。杠杆会放大损失，任何策略都不存在保证盈利。</x:v>
      </x:c>
      <x:c r="G22" s="90" t="str">
        <x:v>风险提示：本工作簿用于学习和个人研究，不构成投资建议。杠杆会放大损失，任何策略都不存在保证盈利。</x:v>
      </x:c>
      <x:c r="H22" s="90" t="str">
        <x:v>风险提示：本工作簿用于学习和个人研究，不构成投资建议。杠杆会放大损失，任何策略都不存在保证盈利。</x:v>
      </x:c>
    </x:row>
  </x:sheetData>
  <x:mergeCells>
    <x:mergeCell ref="A1:H1"/>
    <x:mergeCell ref="A3:H3"/>
    <x:mergeCell ref="D5:H5"/>
    <x:mergeCell ref="D6:H13"/>
    <x:mergeCell ref="A14:H14"/>
    <x:mergeCell ref="B15:H15"/>
    <x:mergeCell ref="B16:H16"/>
    <x:mergeCell ref="B17:H17"/>
    <x:mergeCell ref="B18:H18"/>
    <x:mergeCell ref="B19:H19"/>
    <x:mergeCell ref="A21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46" hidden="0" customWidth="1"/>
  </x:cols>
  <x:sheetData>
    <x:row r="1" ht="34" customHeight="1">
      <x:c r="A1" s="4" t="str">
        <x:v>风险与系统参数</x:v>
      </x:c>
      <x:c r="B1" s="4" t="str">
        <x:v>风险与系统参数</x:v>
      </x:c>
      <x:c r="C1" s="4" t="str">
        <x:v>风险与系统参数</x:v>
      </x:c>
      <x:c r="D1" s="4" t="str">
        <x:v>风险与系统参数</x:v>
      </x:c>
      <x:c r="E1" s="4" t="str">
        <x:v>风险与系统参数</x:v>
      </x:c>
      <x:c r="F1" s="4" t="str">
        <x:v>风险与系统参数</x:v>
      </x:c>
    </x:row>
    <x:row r="3">
      <x:c r="A3" s="14" t="str">
        <x:v>参数</x:v>
      </x:c>
      <x:c r="B3" s="14" t="str">
        <x:v>当前值</x:v>
      </x:c>
      <x:c r="C3" s="14" t="str">
        <x:v>说明</x:v>
      </x:c>
    </x:row>
    <x:row r="4">
      <x:c r="A4" s="23" t="str">
        <x:v>账户净值(U)</x:v>
      </x:c>
      <x:c r="B4" s="100" t="n">
        <x:v>10000</x:v>
      </x:c>
      <x:c r="C4" s="24" t="str">
        <x:v>用于计算建议风险和仓位。</x:v>
      </x:c>
    </x:row>
    <x:row r="5">
      <x:c r="A5" s="25" t="str">
        <x:v>单笔风险比例</x:v>
      </x:c>
      <x:c r="B5" s="101" t="n">
        <x:v>0.005</x:v>
      </x:c>
      <x:c r="C5" s="26" t="str">
        <x:v>研究初期建议 0.25%–0.5%。</x:v>
      </x:c>
    </x:row>
    <x:row r="6">
      <x:c r="A6" s="25" t="str">
        <x:v>单日最大亏损比例</x:v>
      </x:c>
      <x:c r="B6" s="101" t="n">
        <x:v>0.01</x:v>
      </x:c>
      <x:c r="C6" s="26" t="str">
        <x:v>达到后当天停止交易。</x:v>
      </x:c>
    </x:row>
    <x:row r="7">
      <x:c r="A7" s="25" t="str">
        <x:v>最大连续亏损</x:v>
      </x:c>
      <x:c r="B7" s="102" t="n">
        <x:v>2</x:v>
      </x:c>
      <x:c r="C7" s="26" t="str">
        <x:v>达到后当天停止。</x:v>
      </x:c>
    </x:row>
    <x:row r="8">
      <x:c r="A8" s="25" t="str">
        <x:v>最低计划RR</x:v>
      </x:c>
      <x:c r="B8" s="102" t="n">
        <x:v>2</x:v>
      </x:c>
      <x:c r="C8" s="26" t="str">
        <x:v>低于此数值默认不交易。</x:v>
      </x:c>
    </x:row>
    <x:row r="9">
      <x:c r="A9" s="25" t="str">
        <x:v>默认产品</x:v>
      </x:c>
      <x:c r="B9" s="98" t="str">
        <x:v>BTCUSDT</x:v>
      </x:c>
      <x:c r="C9" s="26" t="str">
        <x:v>主要研究 BTC 永续合约。</x:v>
      </x:c>
    </x:row>
    <x:row r="10">
      <x:c r="A10" s="25" t="str">
        <x:v>时区</x:v>
      </x:c>
      <x:c r="B10" s="98" t="str">
        <x:v>Asia/Shanghai</x:v>
      </x:c>
      <x:c r="C10" s="26" t="str">
        <x:v>所有时间记录使用同一时区。</x:v>
      </x:c>
    </x:row>
    <x:row r="11">
      <x:c r="A11" s="25" t="str">
        <x:v>目标样本数</x:v>
      </x:c>
      <x:c r="B11" s="98" t="n">
        <x:v>100</x:v>
      </x:c>
      <x:c r="C11" s="26" t="str">
        <x:v>达到前不宣称系统已验证。</x:v>
      </x:c>
    </x:row>
    <x:row r="12">
      <x:c r="A12" s="27" t="str">
        <x:v>系统版本</x:v>
      </x:c>
      <x:c r="B12" s="99" t="str">
        <x:v>v0.3</x:v>
      </x:c>
      <x:c r="C12" s="28" t="str">
        <x:v>一次只修改一个主要变量。</x:v>
      </x:c>
    </x:row>
    <x:row r="14">
      <x:c r="A14" s="14" t="str">
        <x:v>计算项目</x:v>
      </x:c>
      <x:c r="B14" s="14" t="str">
        <x:v>公式结果</x:v>
      </x:c>
      <x:c r="C14" s="14" t="str">
        <x:v>说明</x:v>
      </x:c>
    </x:row>
    <x:row r="15">
      <x:c r="A15" s="104" t="str">
        <x:v>单笔最大风险(U)</x:v>
      </x:c>
      <x:c r="B15" s="113" t="n">
        <x:f>B4*B5</x:f>
        <x:v>50</x:v>
      </x:c>
      <x:c r="C15" s="106" t="str">
        <x:v>账户净值 × 单笔风险比例</x:v>
      </x:c>
    </x:row>
    <x:row r="16">
      <x:c r="A16" s="107" t="str">
        <x:v>单日最大亏损(U)</x:v>
      </x:c>
      <x:c r="B16" s="114" t="n">
        <x:f>B4*B6</x:f>
        <x:v>100</x:v>
      </x:c>
      <x:c r="C16" s="109" t="str">
        <x:v>账户净值 × 单日最大亏损比例</x:v>
      </x:c>
    </x:row>
    <x:row r="17">
      <x:c r="A17" s="107" t="str">
        <x:v>参考最大满风险亏损笔数</x:v>
      </x:c>
      <x:c r="B17" s="114" t="n">
        <x:f>B16/B15</x:f>
        <x:v>2</x:v>
      </x:c>
      <x:c r="C17" s="109" t="str">
        <x:v>用于纪律提醒，不是可突破的额度。</x:v>
      </x:c>
    </x:row>
    <x:row r="18">
      <x:c r="A18" s="110" t="str">
        <x:v>研究完成度</x:v>
      </x:c>
      <x:c r="B18" s="115" t="n">
        <x:f>'统计看板'!B4/B11</x:f>
        <x:v>0.04</x:v>
      </x:c>
      <x:c r="C18" s="112" t="str">
        <x:v>由统计看板的已平仓样本驱动。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2" hidden="0" customWidth="1"/>
    <x:col min="9" max="9" width="20" hidden="0" customWidth="1"/>
    <x:col min="10" max="10" width="20" hidden="0" customWidth="1"/>
    <x:col min="11" max="11" width="14" hidden="0" customWidth="1"/>
    <x:col min="12" max="12" width="14" hidden="0" customWidth="1"/>
    <x:col min="13" max="13" width="14" hidden="0" customWidth="1"/>
    <x:col min="14" max="14" width="12" hidden="0" customWidth="1"/>
    <x:col min="15" max="15" width="16" hidden="0" customWidth="1"/>
    <x:col min="16" max="16" width="18" hidden="0" customWidth="1"/>
    <x:col min="17" max="17" width="24" hidden="0" customWidth="1"/>
    <x:col min="18" max="18" width="28" hidden="0" customWidth="1"/>
    <x:col min="19" max="19" width="14" hidden="0" customWidth="1"/>
  </x:cols>
  <x:sheetData>
    <x:row r="1" ht="34" customHeight="1">
      <x:c r="A1" s="4" t="str">
        <x:v>BTC 盘前计划</x:v>
      </x:c>
      <x:c r="B1" s="4" t="str">
        <x:v>BTC 盘前计划</x:v>
      </x:c>
      <x:c r="C1" s="4" t="str">
        <x:v>BTC 盘前计划</x:v>
      </x:c>
      <x:c r="D1" s="4" t="str">
        <x:v>BTC 盘前计划</x:v>
      </x:c>
      <x:c r="E1" s="4" t="str">
        <x:v>BTC 盘前计划</x:v>
      </x:c>
      <x:c r="F1" s="4" t="str">
        <x:v>BTC 盘前计划</x:v>
      </x:c>
      <x:c r="G1" s="4" t="str">
        <x:v>BTC 盘前计划</x:v>
      </x:c>
      <x:c r="H1" s="4" t="str">
        <x:v>BTC 盘前计划</x:v>
      </x:c>
      <x:c r="I1" s="4" t="str">
        <x:v>BTC 盘前计划</x:v>
      </x:c>
      <x:c r="J1" s="4" t="str">
        <x:v>BTC 盘前计划</x:v>
      </x:c>
      <x:c r="K1" s="4" t="str">
        <x:v>BTC 盘前计划</x:v>
      </x:c>
      <x:c r="L1" s="4" t="str">
        <x:v>BTC 盘前计划</x:v>
      </x:c>
      <x:c r="M1" s="4" t="str">
        <x:v>BTC 盘前计划</x:v>
      </x:c>
      <x:c r="N1" s="4" t="str">
        <x:v>BTC 盘前计划</x:v>
      </x:c>
      <x:c r="O1" s="4" t="str">
        <x:v>BTC 盘前计划</x:v>
      </x:c>
      <x:c r="P1" s="4" t="str">
        <x:v>BTC 盘前计划</x:v>
      </x:c>
      <x:c r="Q1" s="4" t="str">
        <x:v>BTC 盘前计划</x:v>
      </x:c>
      <x:c r="R1" s="4" t="str">
        <x:v>BTC 盘前计划</x:v>
      </x:c>
      <x:c r="S1" s="4" t="str">
        <x:v>BTC 盘前计划</x:v>
      </x:c>
    </x:row>
    <x:row r="2">
      <x:c r="A2" s="123" t="str">
        <x:v>黄色列为输入；绿色列自动计算。先写场景和禁做条件，再等待价格触发。</x:v>
      </x:c>
      <x:c r="B2" s="123" t="str">
        <x:v>黄色列为输入；绿色列自动计算。先写场景和禁做条件，再等待价格触发。</x:v>
      </x:c>
      <x:c r="C2" s="123" t="str">
        <x:v>黄色列为输入；绿色列自动计算。先写场景和禁做条件，再等待价格触发。</x:v>
      </x:c>
      <x:c r="D2" s="123" t="str">
        <x:v>黄色列为输入；绿色列自动计算。先写场景和禁做条件，再等待价格触发。</x:v>
      </x:c>
      <x:c r="E2" s="123" t="str">
        <x:v>黄色列为输入；绿色列自动计算。先写场景和禁做条件，再等待价格触发。</x:v>
      </x:c>
      <x:c r="F2" s="123" t="str">
        <x:v>黄色列为输入；绿色列自动计算。先写场景和禁做条件，再等待价格触发。</x:v>
      </x:c>
      <x:c r="G2" s="123" t="str">
        <x:v>黄色列为输入；绿色列自动计算。先写场景和禁做条件，再等待价格触发。</x:v>
      </x:c>
      <x:c r="H2" s="123" t="str">
        <x:v>黄色列为输入；绿色列自动计算。先写场景和禁做条件，再等待价格触发。</x:v>
      </x:c>
      <x:c r="I2" s="123" t="str">
        <x:v>黄色列为输入；绿色列自动计算。先写场景和禁做条件，再等待价格触发。</x:v>
      </x:c>
      <x:c r="J2" s="123" t="str">
        <x:v>黄色列为输入；绿色列自动计算。先写场景和禁做条件，再等待价格触发。</x:v>
      </x:c>
      <x:c r="K2" s="123" t="str">
        <x:v>黄色列为输入；绿色列自动计算。先写场景和禁做条件，再等待价格触发。</x:v>
      </x:c>
      <x:c r="L2" s="123" t="str">
        <x:v>黄色列为输入；绿色列自动计算。先写场景和禁做条件，再等待价格触发。</x:v>
      </x:c>
      <x:c r="M2" s="123" t="str">
        <x:v>黄色列为输入；绿色列自动计算。先写场景和禁做条件，再等待价格触发。</x:v>
      </x:c>
      <x:c r="N2" s="123" t="str">
        <x:v>黄色列为输入；绿色列自动计算。先写场景和禁做条件，再等待价格触发。</x:v>
      </x:c>
      <x:c r="O2" s="123" t="str">
        <x:v>黄色列为输入；绿色列自动计算。先写场景和禁做条件，再等待价格触发。</x:v>
      </x:c>
      <x:c r="P2" s="123" t="str">
        <x:v>黄色列为输入；绿色列自动计算。先写场景和禁做条件，再等待价格触发。</x:v>
      </x:c>
      <x:c r="Q2" s="123" t="str">
        <x:v>黄色列为输入；绿色列自动计算。先写场景和禁做条件，再等待价格触发。</x:v>
      </x:c>
      <x:c r="R2" s="123" t="str">
        <x:v>黄色列为输入；绿色列自动计算。先写场景和禁做条件，再等待价格触发。</x:v>
      </x:c>
      <x:c r="S2" s="123" t="str">
        <x:v>黄色列为输入；绿色列自动计算。先写场景和禁做条件，再等待价格触发。</x:v>
      </x:c>
    </x:row>
    <x:row r="3">
      <x:c r="A3" s="14" t="str">
        <x:v>日期</x:v>
      </x:c>
      <x:c r="B3" s="14" t="str">
        <x:v>产品</x:v>
      </x:c>
      <x:c r="C3" s="14" t="str">
        <x:v>高周期结构</x:v>
      </x:c>
      <x:c r="D3" s="14" t="str">
        <x:v>Dealing Range高</x:v>
      </x:c>
      <x:c r="E3" s="14" t="str">
        <x:v>Dealing Range低</x:v>
      </x:c>
      <x:c r="F3" s="14" t="str">
        <x:v>当前价</x:v>
      </x:c>
      <x:c r="G3" s="14" t="str">
        <x:v>位置</x:v>
      </x:c>
      <x:c r="H3" s="14" t="str">
        <x:v>偏向</x:v>
      </x:c>
      <x:c r="I3" s="14" t="str">
        <x:v>上方流动性</x:v>
      </x:c>
      <x:c r="J3" s="14" t="str">
        <x:v>下方流动性</x:v>
      </x:c>
      <x:c r="K3" s="14" t="str">
        <x:v>计划入场</x:v>
      </x:c>
      <x:c r="L3" s="14" t="str">
        <x:v>计划止损</x:v>
      </x:c>
      <x:c r="M3" s="14" t="str">
        <x:v>计划目标</x:v>
      </x:c>
      <x:c r="N3" s="14" t="str">
        <x:v>计划RR</x:v>
      </x:c>
      <x:c r="O3" s="14" t="str">
        <x:v>建议仓位(U)</x:v>
      </x:c>
      <x:c r="P3" s="14" t="str">
        <x:v>事件风险</x:v>
      </x:c>
      <x:c r="Q3" s="14" t="str">
        <x:v>Funding/OI说明</x:v>
      </x:c>
      <x:c r="R3" s="14" t="str">
        <x:v>禁做条件</x:v>
      </x:c>
      <x:c r="S3" s="14" t="str">
        <x:v>盘前完成</x:v>
      </x:c>
    </x:row>
    <x:row r="4">
      <x:c r="A4" s="138"/>
      <x:c r="B4" s="130"/>
      <x:c r="C4" s="130"/>
      <x:c r="D4" s="141"/>
      <x:c r="E4" s="141"/>
      <x:c r="F4" s="141"/>
      <x:c r="G4" s="105" t="str">
        <x:f>IF(OR(D4="",E4="",F4=""),"",IF(F4&gt;(D4+E4)/2,"Premium",IF(F4&lt;(D4+E4)/2,"Discount","Equilibrium")))</x:f>
      </x:c>
      <x:c r="H4" s="130"/>
      <x:c r="I4" s="130"/>
      <x:c r="J4" s="130"/>
      <x:c r="K4" s="141"/>
      <x:c r="L4" s="141"/>
      <x:c r="M4" s="141"/>
      <x:c r="N4" s="144" t="str">
        <x:f>IF(OR(K4="",L4="",M4=""),"",ABS((M4-K4)/(K4-L4)))</x:f>
      </x:c>
      <x:c r="O4" s="113" t="str">
        <x:f>IF(OR(K4="",L4="",K4=L4),"",('参数设置'!$B$4*'参数设置'!$B$5)/(ABS(K4-L4)/K4))</x:f>
      </x:c>
      <x:c r="P4" s="130"/>
      <x:c r="Q4" s="130"/>
      <x:c r="R4" s="130"/>
      <x:c r="S4" s="135"/>
    </x:row>
    <x:row r="5">
      <x:c r="A5" s="139"/>
      <x:c r="B5" s="132"/>
      <x:c r="C5" s="132"/>
      <x:c r="D5" s="142"/>
      <x:c r="E5" s="142"/>
      <x:c r="F5" s="142"/>
      <x:c r="G5" s="108" t="str">
        <x:f>IF(OR(D5="",E5="",F5=""),"",IF(F5&gt;(D5+E5)/2,"Premium",IF(F5&lt;(D5+E5)/2,"Discount","Equilibrium")))</x:f>
      </x:c>
      <x:c r="H5" s="132"/>
      <x:c r="I5" s="132"/>
      <x:c r="J5" s="132"/>
      <x:c r="K5" s="142"/>
      <x:c r="L5" s="142"/>
      <x:c r="M5" s="142"/>
      <x:c r="N5" s="145" t="str">
        <x:f>IF(OR(K5="",L5="",M5=""),"",ABS((M5-K5)/(K5-L5)))</x:f>
      </x:c>
      <x:c r="O5" s="114" t="str">
        <x:f>IF(OR(K5="",L5="",K5=L5),"",('参数设置'!$B$4*'参数设置'!$B$5)/(ABS(K5-L5)/K5))</x:f>
      </x:c>
      <x:c r="P5" s="132"/>
      <x:c r="Q5" s="132"/>
      <x:c r="R5" s="132"/>
      <x:c r="S5" s="136"/>
    </x:row>
    <x:row r="6">
      <x:c r="A6" s="139"/>
      <x:c r="B6" s="132"/>
      <x:c r="C6" s="132"/>
      <x:c r="D6" s="142"/>
      <x:c r="E6" s="142"/>
      <x:c r="F6" s="142"/>
      <x:c r="G6" s="108" t="str">
        <x:f>IF(OR(D6="",E6="",F6=""),"",IF(F6&gt;(D6+E6)/2,"Premium",IF(F6&lt;(D6+E6)/2,"Discount","Equilibrium")))</x:f>
      </x:c>
      <x:c r="H6" s="132"/>
      <x:c r="I6" s="132"/>
      <x:c r="J6" s="132"/>
      <x:c r="K6" s="142"/>
      <x:c r="L6" s="142"/>
      <x:c r="M6" s="142"/>
      <x:c r="N6" s="145" t="str">
        <x:f>IF(OR(K6="",L6="",M6=""),"",ABS((M6-K6)/(K6-L6)))</x:f>
      </x:c>
      <x:c r="O6" s="114" t="str">
        <x:f>IF(OR(K6="",L6="",K6=L6),"",('参数设置'!$B$4*'参数设置'!$B$5)/(ABS(K6-L6)/K6))</x:f>
      </x:c>
      <x:c r="P6" s="132"/>
      <x:c r="Q6" s="132"/>
      <x:c r="R6" s="132"/>
      <x:c r="S6" s="136"/>
    </x:row>
    <x:row r="7">
      <x:c r="A7" s="139"/>
      <x:c r="B7" s="132"/>
      <x:c r="C7" s="132"/>
      <x:c r="D7" s="142"/>
      <x:c r="E7" s="142"/>
      <x:c r="F7" s="142"/>
      <x:c r="G7" s="108" t="str">
        <x:f>IF(OR(D7="",E7="",F7=""),"",IF(F7&gt;(D7+E7)/2,"Premium",IF(F7&lt;(D7+E7)/2,"Discount","Equilibrium")))</x:f>
      </x:c>
      <x:c r="H7" s="132"/>
      <x:c r="I7" s="132"/>
      <x:c r="J7" s="132"/>
      <x:c r="K7" s="142"/>
      <x:c r="L7" s="142"/>
      <x:c r="M7" s="142"/>
      <x:c r="N7" s="145" t="str">
        <x:f>IF(OR(K7="",L7="",M7=""),"",ABS((M7-K7)/(K7-L7)))</x:f>
      </x:c>
      <x:c r="O7" s="114" t="str">
        <x:f>IF(OR(K7="",L7="",K7=L7),"",('参数设置'!$B$4*'参数设置'!$B$5)/(ABS(K7-L7)/K7))</x:f>
      </x:c>
      <x:c r="P7" s="132"/>
      <x:c r="Q7" s="132"/>
      <x:c r="R7" s="132"/>
      <x:c r="S7" s="136"/>
    </x:row>
    <x:row r="8">
      <x:c r="A8" s="139"/>
      <x:c r="B8" s="132"/>
      <x:c r="C8" s="132"/>
      <x:c r="D8" s="142"/>
      <x:c r="E8" s="142"/>
      <x:c r="F8" s="142"/>
      <x:c r="G8" s="108" t="str">
        <x:f>IF(OR(D8="",E8="",F8=""),"",IF(F8&gt;(D8+E8)/2,"Premium",IF(F8&lt;(D8+E8)/2,"Discount","Equilibrium")))</x:f>
      </x:c>
      <x:c r="H8" s="132"/>
      <x:c r="I8" s="132"/>
      <x:c r="J8" s="132"/>
      <x:c r="K8" s="142"/>
      <x:c r="L8" s="142"/>
      <x:c r="M8" s="142"/>
      <x:c r="N8" s="145" t="str">
        <x:f>IF(OR(K8="",L8="",M8=""),"",ABS((M8-K8)/(K8-L8)))</x:f>
      </x:c>
      <x:c r="O8" s="114" t="str">
        <x:f>IF(OR(K8="",L8="",K8=L8),"",('参数设置'!$B$4*'参数设置'!$B$5)/(ABS(K8-L8)/K8))</x:f>
      </x:c>
      <x:c r="P8" s="132"/>
      <x:c r="Q8" s="132"/>
      <x:c r="R8" s="132"/>
      <x:c r="S8" s="136"/>
    </x:row>
    <x:row r="9">
      <x:c r="A9" s="139"/>
      <x:c r="B9" s="132"/>
      <x:c r="C9" s="132"/>
      <x:c r="D9" s="142"/>
      <x:c r="E9" s="142"/>
      <x:c r="F9" s="142"/>
      <x:c r="G9" s="108" t="str">
        <x:f>IF(OR(D9="",E9="",F9=""),"",IF(F9&gt;(D9+E9)/2,"Premium",IF(F9&lt;(D9+E9)/2,"Discount","Equilibrium")))</x:f>
      </x:c>
      <x:c r="H9" s="132"/>
      <x:c r="I9" s="132"/>
      <x:c r="J9" s="132"/>
      <x:c r="K9" s="142"/>
      <x:c r="L9" s="142"/>
      <x:c r="M9" s="142"/>
      <x:c r="N9" s="145" t="str">
        <x:f>IF(OR(K9="",L9="",M9=""),"",ABS((M9-K9)/(K9-L9)))</x:f>
      </x:c>
      <x:c r="O9" s="114" t="str">
        <x:f>IF(OR(K9="",L9="",K9=L9),"",('参数设置'!$B$4*'参数设置'!$B$5)/(ABS(K9-L9)/K9))</x:f>
      </x:c>
      <x:c r="P9" s="132"/>
      <x:c r="Q9" s="132"/>
      <x:c r="R9" s="132"/>
      <x:c r="S9" s="136"/>
    </x:row>
    <x:row r="10">
      <x:c r="A10" s="139"/>
      <x:c r="B10" s="132"/>
      <x:c r="C10" s="132"/>
      <x:c r="D10" s="142"/>
      <x:c r="E10" s="142"/>
      <x:c r="F10" s="142"/>
      <x:c r="G10" s="108" t="str">
        <x:f>IF(OR(D10="",E10="",F10=""),"",IF(F10&gt;(D10+E10)/2,"Premium",IF(F10&lt;(D10+E10)/2,"Discount","Equilibrium")))</x:f>
      </x:c>
      <x:c r="H10" s="132"/>
      <x:c r="I10" s="132"/>
      <x:c r="J10" s="132"/>
      <x:c r="K10" s="142"/>
      <x:c r="L10" s="142"/>
      <x:c r="M10" s="142"/>
      <x:c r="N10" s="145" t="str">
        <x:f>IF(OR(K10="",L10="",M10=""),"",ABS((M10-K10)/(K10-L10)))</x:f>
      </x:c>
      <x:c r="O10" s="114" t="str">
        <x:f>IF(OR(K10="",L10="",K10=L10),"",('参数设置'!$B$4*'参数设置'!$B$5)/(ABS(K10-L10)/K10))</x:f>
      </x:c>
      <x:c r="P10" s="132"/>
      <x:c r="Q10" s="132"/>
      <x:c r="R10" s="132"/>
      <x:c r="S10" s="136"/>
    </x:row>
    <x:row r="11">
      <x:c r="A11" s="139"/>
      <x:c r="B11" s="132"/>
      <x:c r="C11" s="132"/>
      <x:c r="D11" s="142"/>
      <x:c r="E11" s="142"/>
      <x:c r="F11" s="142"/>
      <x:c r="G11" s="108" t="str">
        <x:f>IF(OR(D11="",E11="",F11=""),"",IF(F11&gt;(D11+E11)/2,"Premium",IF(F11&lt;(D11+E11)/2,"Discount","Equilibrium")))</x:f>
      </x:c>
      <x:c r="H11" s="132"/>
      <x:c r="I11" s="132"/>
      <x:c r="J11" s="132"/>
      <x:c r="K11" s="142"/>
      <x:c r="L11" s="142"/>
      <x:c r="M11" s="142"/>
      <x:c r="N11" s="145" t="str">
        <x:f>IF(OR(K11="",L11="",M11=""),"",ABS((M11-K11)/(K11-L11)))</x:f>
      </x:c>
      <x:c r="O11" s="114" t="str">
        <x:f>IF(OR(K11="",L11="",K11=L11),"",('参数设置'!$B$4*'参数设置'!$B$5)/(ABS(K11-L11)/K11))</x:f>
      </x:c>
      <x:c r="P11" s="132"/>
      <x:c r="Q11" s="132"/>
      <x:c r="R11" s="132"/>
      <x:c r="S11" s="136"/>
    </x:row>
    <x:row r="12">
      <x:c r="A12" s="139"/>
      <x:c r="B12" s="132"/>
      <x:c r="C12" s="132"/>
      <x:c r="D12" s="142"/>
      <x:c r="E12" s="142"/>
      <x:c r="F12" s="142"/>
      <x:c r="G12" s="108" t="str">
        <x:f>IF(OR(D12="",E12="",F12=""),"",IF(F12&gt;(D12+E12)/2,"Premium",IF(F12&lt;(D12+E12)/2,"Discount","Equilibrium")))</x:f>
      </x:c>
      <x:c r="H12" s="132"/>
      <x:c r="I12" s="132"/>
      <x:c r="J12" s="132"/>
      <x:c r="K12" s="142"/>
      <x:c r="L12" s="142"/>
      <x:c r="M12" s="142"/>
      <x:c r="N12" s="145" t="str">
        <x:f>IF(OR(K12="",L12="",M12=""),"",ABS((M12-K12)/(K12-L12)))</x:f>
      </x:c>
      <x:c r="O12" s="114" t="str">
        <x:f>IF(OR(K12="",L12="",K12=L12),"",('参数设置'!$B$4*'参数设置'!$B$5)/(ABS(K12-L12)/K12))</x:f>
      </x:c>
      <x:c r="P12" s="132"/>
      <x:c r="Q12" s="132"/>
      <x:c r="R12" s="132"/>
      <x:c r="S12" s="136"/>
    </x:row>
    <x:row r="13">
      <x:c r="A13" s="139"/>
      <x:c r="B13" s="132"/>
      <x:c r="C13" s="132"/>
      <x:c r="D13" s="142"/>
      <x:c r="E13" s="142"/>
      <x:c r="F13" s="142"/>
      <x:c r="G13" s="108" t="str">
        <x:f>IF(OR(D13="",E13="",F13=""),"",IF(F13&gt;(D13+E13)/2,"Premium",IF(F13&lt;(D13+E13)/2,"Discount","Equilibrium")))</x:f>
      </x:c>
      <x:c r="H13" s="132"/>
      <x:c r="I13" s="132"/>
      <x:c r="J13" s="132"/>
      <x:c r="K13" s="142"/>
      <x:c r="L13" s="142"/>
      <x:c r="M13" s="142"/>
      <x:c r="N13" s="145" t="str">
        <x:f>IF(OR(K13="",L13="",M13=""),"",ABS((M13-K13)/(K13-L13)))</x:f>
      </x:c>
      <x:c r="O13" s="114" t="str">
        <x:f>IF(OR(K13="",L13="",K13=L13),"",('参数设置'!$B$4*'参数设置'!$B$5)/(ABS(K13-L13)/K13))</x:f>
      </x:c>
      <x:c r="P13" s="132"/>
      <x:c r="Q13" s="132"/>
      <x:c r="R13" s="132"/>
      <x:c r="S13" s="136"/>
    </x:row>
    <x:row r="14">
      <x:c r="A14" s="139"/>
      <x:c r="B14" s="132"/>
      <x:c r="C14" s="132"/>
      <x:c r="D14" s="142"/>
      <x:c r="E14" s="142"/>
      <x:c r="F14" s="142"/>
      <x:c r="G14" s="108" t="str">
        <x:f>IF(OR(D14="",E14="",F14=""),"",IF(F14&gt;(D14+E14)/2,"Premium",IF(F14&lt;(D14+E14)/2,"Discount","Equilibrium")))</x:f>
      </x:c>
      <x:c r="H14" s="132"/>
      <x:c r="I14" s="132"/>
      <x:c r="J14" s="132"/>
      <x:c r="K14" s="142"/>
      <x:c r="L14" s="142"/>
      <x:c r="M14" s="142"/>
      <x:c r="N14" s="145" t="str">
        <x:f>IF(OR(K14="",L14="",M14=""),"",ABS((M14-K14)/(K14-L14)))</x:f>
      </x:c>
      <x:c r="O14" s="114" t="str">
        <x:f>IF(OR(K14="",L14="",K14=L14),"",('参数设置'!$B$4*'参数设置'!$B$5)/(ABS(K14-L14)/K14))</x:f>
      </x:c>
      <x:c r="P14" s="132"/>
      <x:c r="Q14" s="132"/>
      <x:c r="R14" s="132"/>
      <x:c r="S14" s="136"/>
    </x:row>
    <x:row r="15">
      <x:c r="A15" s="139"/>
      <x:c r="B15" s="132"/>
      <x:c r="C15" s="132"/>
      <x:c r="D15" s="142"/>
      <x:c r="E15" s="142"/>
      <x:c r="F15" s="142"/>
      <x:c r="G15" s="108" t="str">
        <x:f>IF(OR(D15="",E15="",F15=""),"",IF(F15&gt;(D15+E15)/2,"Premium",IF(F15&lt;(D15+E15)/2,"Discount","Equilibrium")))</x:f>
      </x:c>
      <x:c r="H15" s="132"/>
      <x:c r="I15" s="132"/>
      <x:c r="J15" s="132"/>
      <x:c r="K15" s="142"/>
      <x:c r="L15" s="142"/>
      <x:c r="M15" s="142"/>
      <x:c r="N15" s="145" t="str">
        <x:f>IF(OR(K15="",L15="",M15=""),"",ABS((M15-K15)/(K15-L15)))</x:f>
      </x:c>
      <x:c r="O15" s="114" t="str">
        <x:f>IF(OR(K15="",L15="",K15=L15),"",('参数设置'!$B$4*'参数设置'!$B$5)/(ABS(K15-L15)/K15))</x:f>
      </x:c>
      <x:c r="P15" s="132"/>
      <x:c r="Q15" s="132"/>
      <x:c r="R15" s="132"/>
      <x:c r="S15" s="136"/>
    </x:row>
    <x:row r="16">
      <x:c r="A16" s="139"/>
      <x:c r="B16" s="132"/>
      <x:c r="C16" s="132"/>
      <x:c r="D16" s="142"/>
      <x:c r="E16" s="142"/>
      <x:c r="F16" s="142"/>
      <x:c r="G16" s="108" t="str">
        <x:f>IF(OR(D16="",E16="",F16=""),"",IF(F16&gt;(D16+E16)/2,"Premium",IF(F16&lt;(D16+E16)/2,"Discount","Equilibrium")))</x:f>
      </x:c>
      <x:c r="H16" s="132"/>
      <x:c r="I16" s="132"/>
      <x:c r="J16" s="132"/>
      <x:c r="K16" s="142"/>
      <x:c r="L16" s="142"/>
      <x:c r="M16" s="142"/>
      <x:c r="N16" s="145" t="str">
        <x:f>IF(OR(K16="",L16="",M16=""),"",ABS((M16-K16)/(K16-L16)))</x:f>
      </x:c>
      <x:c r="O16" s="114" t="str">
        <x:f>IF(OR(K16="",L16="",K16=L16),"",('参数设置'!$B$4*'参数设置'!$B$5)/(ABS(K16-L16)/K16))</x:f>
      </x:c>
      <x:c r="P16" s="132"/>
      <x:c r="Q16" s="132"/>
      <x:c r="R16" s="132"/>
      <x:c r="S16" s="136"/>
    </x:row>
    <x:row r="17">
      <x:c r="A17" s="139"/>
      <x:c r="B17" s="132"/>
      <x:c r="C17" s="132"/>
      <x:c r="D17" s="142"/>
      <x:c r="E17" s="142"/>
      <x:c r="F17" s="142"/>
      <x:c r="G17" s="108" t="str">
        <x:f>IF(OR(D17="",E17="",F17=""),"",IF(F17&gt;(D17+E17)/2,"Premium",IF(F17&lt;(D17+E17)/2,"Discount","Equilibrium")))</x:f>
      </x:c>
      <x:c r="H17" s="132"/>
      <x:c r="I17" s="132"/>
      <x:c r="J17" s="132"/>
      <x:c r="K17" s="142"/>
      <x:c r="L17" s="142"/>
      <x:c r="M17" s="142"/>
      <x:c r="N17" s="145" t="str">
        <x:f>IF(OR(K17="",L17="",M17=""),"",ABS((M17-K17)/(K17-L17)))</x:f>
      </x:c>
      <x:c r="O17" s="114" t="str">
        <x:f>IF(OR(K17="",L17="",K17=L17),"",('参数设置'!$B$4*'参数设置'!$B$5)/(ABS(K17-L17)/K17))</x:f>
      </x:c>
      <x:c r="P17" s="132"/>
      <x:c r="Q17" s="132"/>
      <x:c r="R17" s="132"/>
      <x:c r="S17" s="136"/>
    </x:row>
    <x:row r="18">
      <x:c r="A18" s="139"/>
      <x:c r="B18" s="132"/>
      <x:c r="C18" s="132"/>
      <x:c r="D18" s="142"/>
      <x:c r="E18" s="142"/>
      <x:c r="F18" s="142"/>
      <x:c r="G18" s="108" t="str">
        <x:f>IF(OR(D18="",E18="",F18=""),"",IF(F18&gt;(D18+E18)/2,"Premium",IF(F18&lt;(D18+E18)/2,"Discount","Equilibrium")))</x:f>
      </x:c>
      <x:c r="H18" s="132"/>
      <x:c r="I18" s="132"/>
      <x:c r="J18" s="132"/>
      <x:c r="K18" s="142"/>
      <x:c r="L18" s="142"/>
      <x:c r="M18" s="142"/>
      <x:c r="N18" s="145" t="str">
        <x:f>IF(OR(K18="",L18="",M18=""),"",ABS((M18-K18)/(K18-L18)))</x:f>
      </x:c>
      <x:c r="O18" s="114" t="str">
        <x:f>IF(OR(K18="",L18="",K18=L18),"",('参数设置'!$B$4*'参数设置'!$B$5)/(ABS(K18-L18)/K18))</x:f>
      </x:c>
      <x:c r="P18" s="132"/>
      <x:c r="Q18" s="132"/>
      <x:c r="R18" s="132"/>
      <x:c r="S18" s="136"/>
    </x:row>
    <x:row r="19">
      <x:c r="A19" s="139"/>
      <x:c r="B19" s="132"/>
      <x:c r="C19" s="132"/>
      <x:c r="D19" s="142"/>
      <x:c r="E19" s="142"/>
      <x:c r="F19" s="142"/>
      <x:c r="G19" s="108" t="str">
        <x:f>IF(OR(D19="",E19="",F19=""),"",IF(F19&gt;(D19+E19)/2,"Premium",IF(F19&lt;(D19+E19)/2,"Discount","Equilibrium")))</x:f>
      </x:c>
      <x:c r="H19" s="132"/>
      <x:c r="I19" s="132"/>
      <x:c r="J19" s="132"/>
      <x:c r="K19" s="142"/>
      <x:c r="L19" s="142"/>
      <x:c r="M19" s="142"/>
      <x:c r="N19" s="145" t="str">
        <x:f>IF(OR(K19="",L19="",M19=""),"",ABS((M19-K19)/(K19-L19)))</x:f>
      </x:c>
      <x:c r="O19" s="114" t="str">
        <x:f>IF(OR(K19="",L19="",K19=L19),"",('参数设置'!$B$4*'参数设置'!$B$5)/(ABS(K19-L19)/K19))</x:f>
      </x:c>
      <x:c r="P19" s="132"/>
      <x:c r="Q19" s="132"/>
      <x:c r="R19" s="132"/>
      <x:c r="S19" s="136"/>
    </x:row>
    <x:row r="20">
      <x:c r="A20" s="139"/>
      <x:c r="B20" s="132"/>
      <x:c r="C20" s="132"/>
      <x:c r="D20" s="142"/>
      <x:c r="E20" s="142"/>
      <x:c r="F20" s="142"/>
      <x:c r="G20" s="108" t="str">
        <x:f>IF(OR(D20="",E20="",F20=""),"",IF(F20&gt;(D20+E20)/2,"Premium",IF(F20&lt;(D20+E20)/2,"Discount","Equilibrium")))</x:f>
      </x:c>
      <x:c r="H20" s="132"/>
      <x:c r="I20" s="132"/>
      <x:c r="J20" s="132"/>
      <x:c r="K20" s="142"/>
      <x:c r="L20" s="142"/>
      <x:c r="M20" s="142"/>
      <x:c r="N20" s="145" t="str">
        <x:f>IF(OR(K20="",L20="",M20=""),"",ABS((M20-K20)/(K20-L20)))</x:f>
      </x:c>
      <x:c r="O20" s="114" t="str">
        <x:f>IF(OR(K20="",L20="",K20=L20),"",('参数设置'!$B$4*'参数设置'!$B$5)/(ABS(K20-L20)/K20))</x:f>
      </x:c>
      <x:c r="P20" s="132"/>
      <x:c r="Q20" s="132"/>
      <x:c r="R20" s="132"/>
      <x:c r="S20" s="136"/>
    </x:row>
    <x:row r="21">
      <x:c r="A21" s="139"/>
      <x:c r="B21" s="132"/>
      <x:c r="C21" s="132"/>
      <x:c r="D21" s="142"/>
      <x:c r="E21" s="142"/>
      <x:c r="F21" s="142"/>
      <x:c r="G21" s="108" t="str">
        <x:f>IF(OR(D21="",E21="",F21=""),"",IF(F21&gt;(D21+E21)/2,"Premium",IF(F21&lt;(D21+E21)/2,"Discount","Equilibrium")))</x:f>
      </x:c>
      <x:c r="H21" s="132"/>
      <x:c r="I21" s="132"/>
      <x:c r="J21" s="132"/>
      <x:c r="K21" s="142"/>
      <x:c r="L21" s="142"/>
      <x:c r="M21" s="142"/>
      <x:c r="N21" s="145" t="str">
        <x:f>IF(OR(K21="",L21="",M21=""),"",ABS((M21-K21)/(K21-L21)))</x:f>
      </x:c>
      <x:c r="O21" s="114" t="str">
        <x:f>IF(OR(K21="",L21="",K21=L21),"",('参数设置'!$B$4*'参数设置'!$B$5)/(ABS(K21-L21)/K21))</x:f>
      </x:c>
      <x:c r="P21" s="132"/>
      <x:c r="Q21" s="132"/>
      <x:c r="R21" s="132"/>
      <x:c r="S21" s="136"/>
    </x:row>
    <x:row r="22">
      <x:c r="A22" s="139"/>
      <x:c r="B22" s="132"/>
      <x:c r="C22" s="132"/>
      <x:c r="D22" s="142"/>
      <x:c r="E22" s="142"/>
      <x:c r="F22" s="142"/>
      <x:c r="G22" s="108" t="str">
        <x:f>IF(OR(D22="",E22="",F22=""),"",IF(F22&gt;(D22+E22)/2,"Premium",IF(F22&lt;(D22+E22)/2,"Discount","Equilibrium")))</x:f>
      </x:c>
      <x:c r="H22" s="132"/>
      <x:c r="I22" s="132"/>
      <x:c r="J22" s="132"/>
      <x:c r="K22" s="142"/>
      <x:c r="L22" s="142"/>
      <x:c r="M22" s="142"/>
      <x:c r="N22" s="145" t="str">
        <x:f>IF(OR(K22="",L22="",M22=""),"",ABS((M22-K22)/(K22-L22)))</x:f>
      </x:c>
      <x:c r="O22" s="114" t="str">
        <x:f>IF(OR(K22="",L22="",K22=L22),"",('参数设置'!$B$4*'参数设置'!$B$5)/(ABS(K22-L22)/K22))</x:f>
      </x:c>
      <x:c r="P22" s="132"/>
      <x:c r="Q22" s="132"/>
      <x:c r="R22" s="132"/>
      <x:c r="S22" s="136"/>
    </x:row>
    <x:row r="23">
      <x:c r="A23" s="139"/>
      <x:c r="B23" s="132"/>
      <x:c r="C23" s="132"/>
      <x:c r="D23" s="142"/>
      <x:c r="E23" s="142"/>
      <x:c r="F23" s="142"/>
      <x:c r="G23" s="108" t="str">
        <x:f>IF(OR(D23="",E23="",F23=""),"",IF(F23&gt;(D23+E23)/2,"Premium",IF(F23&lt;(D23+E23)/2,"Discount","Equilibrium")))</x:f>
      </x:c>
      <x:c r="H23" s="132"/>
      <x:c r="I23" s="132"/>
      <x:c r="J23" s="132"/>
      <x:c r="K23" s="142"/>
      <x:c r="L23" s="142"/>
      <x:c r="M23" s="142"/>
      <x:c r="N23" s="145" t="str">
        <x:f>IF(OR(K23="",L23="",M23=""),"",ABS((M23-K23)/(K23-L23)))</x:f>
      </x:c>
      <x:c r="O23" s="114" t="str">
        <x:f>IF(OR(K23="",L23="",K23=L23),"",('参数设置'!$B$4*'参数设置'!$B$5)/(ABS(K23-L23)/K23))</x:f>
      </x:c>
      <x:c r="P23" s="132"/>
      <x:c r="Q23" s="132"/>
      <x:c r="R23" s="132"/>
      <x:c r="S23" s="136"/>
    </x:row>
    <x:row r="24">
      <x:c r="A24" s="139"/>
      <x:c r="B24" s="132"/>
      <x:c r="C24" s="132"/>
      <x:c r="D24" s="142"/>
      <x:c r="E24" s="142"/>
      <x:c r="F24" s="142"/>
      <x:c r="G24" s="108" t="str">
        <x:f>IF(OR(D24="",E24="",F24=""),"",IF(F24&gt;(D24+E24)/2,"Premium",IF(F24&lt;(D24+E24)/2,"Discount","Equilibrium")))</x:f>
      </x:c>
      <x:c r="H24" s="132"/>
      <x:c r="I24" s="132"/>
      <x:c r="J24" s="132"/>
      <x:c r="K24" s="142"/>
      <x:c r="L24" s="142"/>
      <x:c r="M24" s="142"/>
      <x:c r="N24" s="145" t="str">
        <x:f>IF(OR(K24="",L24="",M24=""),"",ABS((M24-K24)/(K24-L24)))</x:f>
      </x:c>
      <x:c r="O24" s="114" t="str">
        <x:f>IF(OR(K24="",L24="",K24=L24),"",('参数设置'!$B$4*'参数设置'!$B$5)/(ABS(K24-L24)/K24))</x:f>
      </x:c>
      <x:c r="P24" s="132"/>
      <x:c r="Q24" s="132"/>
      <x:c r="R24" s="132"/>
      <x:c r="S24" s="136"/>
    </x:row>
    <x:row r="25">
      <x:c r="A25" s="139"/>
      <x:c r="B25" s="132"/>
      <x:c r="C25" s="132"/>
      <x:c r="D25" s="142"/>
      <x:c r="E25" s="142"/>
      <x:c r="F25" s="142"/>
      <x:c r="G25" s="108" t="str">
        <x:f>IF(OR(D25="",E25="",F25=""),"",IF(F25&gt;(D25+E25)/2,"Premium",IF(F25&lt;(D25+E25)/2,"Discount","Equilibrium")))</x:f>
      </x:c>
      <x:c r="H25" s="132"/>
      <x:c r="I25" s="132"/>
      <x:c r="J25" s="132"/>
      <x:c r="K25" s="142"/>
      <x:c r="L25" s="142"/>
      <x:c r="M25" s="142"/>
      <x:c r="N25" s="145" t="str">
        <x:f>IF(OR(K25="",L25="",M25=""),"",ABS((M25-K25)/(K25-L25)))</x:f>
      </x:c>
      <x:c r="O25" s="114" t="str">
        <x:f>IF(OR(K25="",L25="",K25=L25),"",('参数设置'!$B$4*'参数设置'!$B$5)/(ABS(K25-L25)/K25))</x:f>
      </x:c>
      <x:c r="P25" s="132"/>
      <x:c r="Q25" s="132"/>
      <x:c r="R25" s="132"/>
      <x:c r="S25" s="136"/>
    </x:row>
    <x:row r="26">
      <x:c r="A26" s="139"/>
      <x:c r="B26" s="132"/>
      <x:c r="C26" s="132"/>
      <x:c r="D26" s="142"/>
      <x:c r="E26" s="142"/>
      <x:c r="F26" s="142"/>
      <x:c r="G26" s="108" t="str">
        <x:f>IF(OR(D26="",E26="",F26=""),"",IF(F26&gt;(D26+E26)/2,"Premium",IF(F26&lt;(D26+E26)/2,"Discount","Equilibrium")))</x:f>
      </x:c>
      <x:c r="H26" s="132"/>
      <x:c r="I26" s="132"/>
      <x:c r="J26" s="132"/>
      <x:c r="K26" s="142"/>
      <x:c r="L26" s="142"/>
      <x:c r="M26" s="142"/>
      <x:c r="N26" s="145" t="str">
        <x:f>IF(OR(K26="",L26="",M26=""),"",ABS((M26-K26)/(K26-L26)))</x:f>
      </x:c>
      <x:c r="O26" s="114" t="str">
        <x:f>IF(OR(K26="",L26="",K26=L26),"",('参数设置'!$B$4*'参数设置'!$B$5)/(ABS(K26-L26)/K26))</x:f>
      </x:c>
      <x:c r="P26" s="132"/>
      <x:c r="Q26" s="132"/>
      <x:c r="R26" s="132"/>
      <x:c r="S26" s="136"/>
    </x:row>
    <x:row r="27">
      <x:c r="A27" s="139"/>
      <x:c r="B27" s="132"/>
      <x:c r="C27" s="132"/>
      <x:c r="D27" s="142"/>
      <x:c r="E27" s="142"/>
      <x:c r="F27" s="142"/>
      <x:c r="G27" s="108" t="str">
        <x:f>IF(OR(D27="",E27="",F27=""),"",IF(F27&gt;(D27+E27)/2,"Premium",IF(F27&lt;(D27+E27)/2,"Discount","Equilibrium")))</x:f>
      </x:c>
      <x:c r="H27" s="132"/>
      <x:c r="I27" s="132"/>
      <x:c r="J27" s="132"/>
      <x:c r="K27" s="142"/>
      <x:c r="L27" s="142"/>
      <x:c r="M27" s="142"/>
      <x:c r="N27" s="145" t="str">
        <x:f>IF(OR(K27="",L27="",M27=""),"",ABS((M27-K27)/(K27-L27)))</x:f>
      </x:c>
      <x:c r="O27" s="114" t="str">
        <x:f>IF(OR(K27="",L27="",K27=L27),"",('参数设置'!$B$4*'参数设置'!$B$5)/(ABS(K27-L27)/K27))</x:f>
      </x:c>
      <x:c r="P27" s="132"/>
      <x:c r="Q27" s="132"/>
      <x:c r="R27" s="132"/>
      <x:c r="S27" s="136"/>
    </x:row>
    <x:row r="28">
      <x:c r="A28" s="139"/>
      <x:c r="B28" s="132"/>
      <x:c r="C28" s="132"/>
      <x:c r="D28" s="142"/>
      <x:c r="E28" s="142"/>
      <x:c r="F28" s="142"/>
      <x:c r="G28" s="108" t="str">
        <x:f>IF(OR(D28="",E28="",F28=""),"",IF(F28&gt;(D28+E28)/2,"Premium",IF(F28&lt;(D28+E28)/2,"Discount","Equilibrium")))</x:f>
      </x:c>
      <x:c r="H28" s="132"/>
      <x:c r="I28" s="132"/>
      <x:c r="J28" s="132"/>
      <x:c r="K28" s="142"/>
      <x:c r="L28" s="142"/>
      <x:c r="M28" s="142"/>
      <x:c r="N28" s="145" t="str">
        <x:f>IF(OR(K28="",L28="",M28=""),"",ABS((M28-K28)/(K28-L28)))</x:f>
      </x:c>
      <x:c r="O28" s="114" t="str">
        <x:f>IF(OR(K28="",L28="",K28=L28),"",('参数设置'!$B$4*'参数设置'!$B$5)/(ABS(K28-L28)/K28))</x:f>
      </x:c>
      <x:c r="P28" s="132"/>
      <x:c r="Q28" s="132"/>
      <x:c r="R28" s="132"/>
      <x:c r="S28" s="136"/>
    </x:row>
    <x:row r="29">
      <x:c r="A29" s="139"/>
      <x:c r="B29" s="132"/>
      <x:c r="C29" s="132"/>
      <x:c r="D29" s="142"/>
      <x:c r="E29" s="142"/>
      <x:c r="F29" s="142"/>
      <x:c r="G29" s="108" t="str">
        <x:f>IF(OR(D29="",E29="",F29=""),"",IF(F29&gt;(D29+E29)/2,"Premium",IF(F29&lt;(D29+E29)/2,"Discount","Equilibrium")))</x:f>
      </x:c>
      <x:c r="H29" s="132"/>
      <x:c r="I29" s="132"/>
      <x:c r="J29" s="132"/>
      <x:c r="K29" s="142"/>
      <x:c r="L29" s="142"/>
      <x:c r="M29" s="142"/>
      <x:c r="N29" s="145" t="str">
        <x:f>IF(OR(K29="",L29="",M29=""),"",ABS((M29-K29)/(K29-L29)))</x:f>
      </x:c>
      <x:c r="O29" s="114" t="str">
        <x:f>IF(OR(K29="",L29="",K29=L29),"",('参数设置'!$B$4*'参数设置'!$B$5)/(ABS(K29-L29)/K29))</x:f>
      </x:c>
      <x:c r="P29" s="132"/>
      <x:c r="Q29" s="132"/>
      <x:c r="R29" s="132"/>
      <x:c r="S29" s="136"/>
    </x:row>
    <x:row r="30">
      <x:c r="A30" s="139"/>
      <x:c r="B30" s="132"/>
      <x:c r="C30" s="132"/>
      <x:c r="D30" s="142"/>
      <x:c r="E30" s="142"/>
      <x:c r="F30" s="142"/>
      <x:c r="G30" s="108" t="str">
        <x:f>IF(OR(D30="",E30="",F30=""),"",IF(F30&gt;(D30+E30)/2,"Premium",IF(F30&lt;(D30+E30)/2,"Discount","Equilibrium")))</x:f>
      </x:c>
      <x:c r="H30" s="132"/>
      <x:c r="I30" s="132"/>
      <x:c r="J30" s="132"/>
      <x:c r="K30" s="142"/>
      <x:c r="L30" s="142"/>
      <x:c r="M30" s="142"/>
      <x:c r="N30" s="145" t="str">
        <x:f>IF(OR(K30="",L30="",M30=""),"",ABS((M30-K30)/(K30-L30)))</x:f>
      </x:c>
      <x:c r="O30" s="114" t="str">
        <x:f>IF(OR(K30="",L30="",K30=L30),"",('参数设置'!$B$4*'参数设置'!$B$5)/(ABS(K30-L30)/K30))</x:f>
      </x:c>
      <x:c r="P30" s="132"/>
      <x:c r="Q30" s="132"/>
      <x:c r="R30" s="132"/>
      <x:c r="S30" s="136"/>
    </x:row>
    <x:row r="31">
      <x:c r="A31" s="139"/>
      <x:c r="B31" s="132"/>
      <x:c r="C31" s="132"/>
      <x:c r="D31" s="142"/>
      <x:c r="E31" s="142"/>
      <x:c r="F31" s="142"/>
      <x:c r="G31" s="108" t="str">
        <x:f>IF(OR(D31="",E31="",F31=""),"",IF(F31&gt;(D31+E31)/2,"Premium",IF(F31&lt;(D31+E31)/2,"Discount","Equilibrium")))</x:f>
      </x:c>
      <x:c r="H31" s="132"/>
      <x:c r="I31" s="132"/>
      <x:c r="J31" s="132"/>
      <x:c r="K31" s="142"/>
      <x:c r="L31" s="142"/>
      <x:c r="M31" s="142"/>
      <x:c r="N31" s="145" t="str">
        <x:f>IF(OR(K31="",L31="",M31=""),"",ABS((M31-K31)/(K31-L31)))</x:f>
      </x:c>
      <x:c r="O31" s="114" t="str">
        <x:f>IF(OR(K31="",L31="",K31=L31),"",('参数设置'!$B$4*'参数设置'!$B$5)/(ABS(K31-L31)/K31))</x:f>
      </x:c>
      <x:c r="P31" s="132"/>
      <x:c r="Q31" s="132"/>
      <x:c r="R31" s="132"/>
      <x:c r="S31" s="136"/>
    </x:row>
    <x:row r="32">
      <x:c r="A32" s="139"/>
      <x:c r="B32" s="132"/>
      <x:c r="C32" s="132"/>
      <x:c r="D32" s="142"/>
      <x:c r="E32" s="142"/>
      <x:c r="F32" s="142"/>
      <x:c r="G32" s="108" t="str">
        <x:f>IF(OR(D32="",E32="",F32=""),"",IF(F32&gt;(D32+E32)/2,"Premium",IF(F32&lt;(D32+E32)/2,"Discount","Equilibrium")))</x:f>
      </x:c>
      <x:c r="H32" s="132"/>
      <x:c r="I32" s="132"/>
      <x:c r="J32" s="132"/>
      <x:c r="K32" s="142"/>
      <x:c r="L32" s="142"/>
      <x:c r="M32" s="142"/>
      <x:c r="N32" s="145" t="str">
        <x:f>IF(OR(K32="",L32="",M32=""),"",ABS((M32-K32)/(K32-L32)))</x:f>
      </x:c>
      <x:c r="O32" s="114" t="str">
        <x:f>IF(OR(K32="",L32="",K32=L32),"",('参数设置'!$B$4*'参数设置'!$B$5)/(ABS(K32-L32)/K32))</x:f>
      </x:c>
      <x:c r="P32" s="132"/>
      <x:c r="Q32" s="132"/>
      <x:c r="R32" s="132"/>
      <x:c r="S32" s="136"/>
    </x:row>
    <x:row r="33">
      <x:c r="A33" s="139"/>
      <x:c r="B33" s="132"/>
      <x:c r="C33" s="132"/>
      <x:c r="D33" s="142"/>
      <x:c r="E33" s="142"/>
      <x:c r="F33" s="142"/>
      <x:c r="G33" s="108" t="str">
        <x:f>IF(OR(D33="",E33="",F33=""),"",IF(F33&gt;(D33+E33)/2,"Premium",IF(F33&lt;(D33+E33)/2,"Discount","Equilibrium")))</x:f>
      </x:c>
      <x:c r="H33" s="132"/>
      <x:c r="I33" s="132"/>
      <x:c r="J33" s="132"/>
      <x:c r="K33" s="142"/>
      <x:c r="L33" s="142"/>
      <x:c r="M33" s="142"/>
      <x:c r="N33" s="145" t="str">
        <x:f>IF(OR(K33="",L33="",M33=""),"",ABS((M33-K33)/(K33-L33)))</x:f>
      </x:c>
      <x:c r="O33" s="114" t="str">
        <x:f>IF(OR(K33="",L33="",K33=L33),"",('参数设置'!$B$4*'参数设置'!$B$5)/(ABS(K33-L33)/K33))</x:f>
      </x:c>
      <x:c r="P33" s="132"/>
      <x:c r="Q33" s="132"/>
      <x:c r="R33" s="132"/>
      <x:c r="S33" s="136"/>
    </x:row>
    <x:row r="34">
      <x:c r="A34" s="139"/>
      <x:c r="B34" s="132"/>
      <x:c r="C34" s="132"/>
      <x:c r="D34" s="142"/>
      <x:c r="E34" s="142"/>
      <x:c r="F34" s="142"/>
      <x:c r="G34" s="108" t="str">
        <x:f>IF(OR(D34="",E34="",F34=""),"",IF(F34&gt;(D34+E34)/2,"Premium",IF(F34&lt;(D34+E34)/2,"Discount","Equilibrium")))</x:f>
      </x:c>
      <x:c r="H34" s="132"/>
      <x:c r="I34" s="132"/>
      <x:c r="J34" s="132"/>
      <x:c r="K34" s="142"/>
      <x:c r="L34" s="142"/>
      <x:c r="M34" s="142"/>
      <x:c r="N34" s="145" t="str">
        <x:f>IF(OR(K34="",L34="",M34=""),"",ABS((M34-K34)/(K34-L34)))</x:f>
      </x:c>
      <x:c r="O34" s="114" t="str">
        <x:f>IF(OR(K34="",L34="",K34=L34),"",('参数设置'!$B$4*'参数设置'!$B$5)/(ABS(K34-L34)/K34))</x:f>
      </x:c>
      <x:c r="P34" s="132"/>
      <x:c r="Q34" s="132"/>
      <x:c r="R34" s="132"/>
      <x:c r="S34" s="136"/>
    </x:row>
    <x:row r="35">
      <x:c r="A35" s="139"/>
      <x:c r="B35" s="132"/>
      <x:c r="C35" s="132"/>
      <x:c r="D35" s="142"/>
      <x:c r="E35" s="142"/>
      <x:c r="F35" s="142"/>
      <x:c r="G35" s="108" t="str">
        <x:f>IF(OR(D35="",E35="",F35=""),"",IF(F35&gt;(D35+E35)/2,"Premium",IF(F35&lt;(D35+E35)/2,"Discount","Equilibrium")))</x:f>
      </x:c>
      <x:c r="H35" s="132"/>
      <x:c r="I35" s="132"/>
      <x:c r="J35" s="132"/>
      <x:c r="K35" s="142"/>
      <x:c r="L35" s="142"/>
      <x:c r="M35" s="142"/>
      <x:c r="N35" s="145" t="str">
        <x:f>IF(OR(K35="",L35="",M35=""),"",ABS((M35-K35)/(K35-L35)))</x:f>
      </x:c>
      <x:c r="O35" s="114" t="str">
        <x:f>IF(OR(K35="",L35="",K35=L35),"",('参数设置'!$B$4*'参数设置'!$B$5)/(ABS(K35-L35)/K35))</x:f>
      </x:c>
      <x:c r="P35" s="132"/>
      <x:c r="Q35" s="132"/>
      <x:c r="R35" s="132"/>
      <x:c r="S35" s="136"/>
    </x:row>
    <x:row r="36">
      <x:c r="A36" s="139"/>
      <x:c r="B36" s="132"/>
      <x:c r="C36" s="132"/>
      <x:c r="D36" s="142"/>
      <x:c r="E36" s="142"/>
      <x:c r="F36" s="142"/>
      <x:c r="G36" s="108" t="str">
        <x:f>IF(OR(D36="",E36="",F36=""),"",IF(F36&gt;(D36+E36)/2,"Premium",IF(F36&lt;(D36+E36)/2,"Discount","Equilibrium")))</x:f>
      </x:c>
      <x:c r="H36" s="132"/>
      <x:c r="I36" s="132"/>
      <x:c r="J36" s="132"/>
      <x:c r="K36" s="142"/>
      <x:c r="L36" s="142"/>
      <x:c r="M36" s="142"/>
      <x:c r="N36" s="145" t="str">
        <x:f>IF(OR(K36="",L36="",M36=""),"",ABS((M36-K36)/(K36-L36)))</x:f>
      </x:c>
      <x:c r="O36" s="114" t="str">
        <x:f>IF(OR(K36="",L36="",K36=L36),"",('参数设置'!$B$4*'参数设置'!$B$5)/(ABS(K36-L36)/K36))</x:f>
      </x:c>
      <x:c r="P36" s="132"/>
      <x:c r="Q36" s="132"/>
      <x:c r="R36" s="132"/>
      <x:c r="S36" s="136"/>
    </x:row>
    <x:row r="37">
      <x:c r="A37" s="139"/>
      <x:c r="B37" s="132"/>
      <x:c r="C37" s="132"/>
      <x:c r="D37" s="142"/>
      <x:c r="E37" s="142"/>
      <x:c r="F37" s="142"/>
      <x:c r="G37" s="108" t="str">
        <x:f>IF(OR(D37="",E37="",F37=""),"",IF(F37&gt;(D37+E37)/2,"Premium",IF(F37&lt;(D37+E37)/2,"Discount","Equilibrium")))</x:f>
      </x:c>
      <x:c r="H37" s="132"/>
      <x:c r="I37" s="132"/>
      <x:c r="J37" s="132"/>
      <x:c r="K37" s="142"/>
      <x:c r="L37" s="142"/>
      <x:c r="M37" s="142"/>
      <x:c r="N37" s="145" t="str">
        <x:f>IF(OR(K37="",L37="",M37=""),"",ABS((M37-K37)/(K37-L37)))</x:f>
      </x:c>
      <x:c r="O37" s="114" t="str">
        <x:f>IF(OR(K37="",L37="",K37=L37),"",('参数设置'!$B$4*'参数设置'!$B$5)/(ABS(K37-L37)/K37))</x:f>
      </x:c>
      <x:c r="P37" s="132"/>
      <x:c r="Q37" s="132"/>
      <x:c r="R37" s="132"/>
      <x:c r="S37" s="136"/>
    </x:row>
    <x:row r="38">
      <x:c r="A38" s="139"/>
      <x:c r="B38" s="132"/>
      <x:c r="C38" s="132"/>
      <x:c r="D38" s="142"/>
      <x:c r="E38" s="142"/>
      <x:c r="F38" s="142"/>
      <x:c r="G38" s="108" t="str">
        <x:f>IF(OR(D38="",E38="",F38=""),"",IF(F38&gt;(D38+E38)/2,"Premium",IF(F38&lt;(D38+E38)/2,"Discount","Equilibrium")))</x:f>
      </x:c>
      <x:c r="H38" s="132"/>
      <x:c r="I38" s="132"/>
      <x:c r="J38" s="132"/>
      <x:c r="K38" s="142"/>
      <x:c r="L38" s="142"/>
      <x:c r="M38" s="142"/>
      <x:c r="N38" s="145" t="str">
        <x:f>IF(OR(K38="",L38="",M38=""),"",ABS((M38-K38)/(K38-L38)))</x:f>
      </x:c>
      <x:c r="O38" s="114" t="str">
        <x:f>IF(OR(K38="",L38="",K38=L38),"",('参数设置'!$B$4*'参数设置'!$B$5)/(ABS(K38-L38)/K38))</x:f>
      </x:c>
      <x:c r="P38" s="132"/>
      <x:c r="Q38" s="132"/>
      <x:c r="R38" s="132"/>
      <x:c r="S38" s="136"/>
    </x:row>
    <x:row r="39">
      <x:c r="A39" s="139"/>
      <x:c r="B39" s="132"/>
      <x:c r="C39" s="132"/>
      <x:c r="D39" s="142"/>
      <x:c r="E39" s="142"/>
      <x:c r="F39" s="142"/>
      <x:c r="G39" s="108" t="str">
        <x:f>IF(OR(D39="",E39="",F39=""),"",IF(F39&gt;(D39+E39)/2,"Premium",IF(F39&lt;(D39+E39)/2,"Discount","Equilibrium")))</x:f>
      </x:c>
      <x:c r="H39" s="132"/>
      <x:c r="I39" s="132"/>
      <x:c r="J39" s="132"/>
      <x:c r="K39" s="142"/>
      <x:c r="L39" s="142"/>
      <x:c r="M39" s="142"/>
      <x:c r="N39" s="145" t="str">
        <x:f>IF(OR(K39="",L39="",M39=""),"",ABS((M39-K39)/(K39-L39)))</x:f>
      </x:c>
      <x:c r="O39" s="114" t="str">
        <x:f>IF(OR(K39="",L39="",K39=L39),"",('参数设置'!$B$4*'参数设置'!$B$5)/(ABS(K39-L39)/K39))</x:f>
      </x:c>
      <x:c r="P39" s="132"/>
      <x:c r="Q39" s="132"/>
      <x:c r="R39" s="132"/>
      <x:c r="S39" s="136"/>
    </x:row>
    <x:row r="40">
      <x:c r="A40" s="139"/>
      <x:c r="B40" s="132"/>
      <x:c r="C40" s="132"/>
      <x:c r="D40" s="142"/>
      <x:c r="E40" s="142"/>
      <x:c r="F40" s="142"/>
      <x:c r="G40" s="108" t="str">
        <x:f>IF(OR(D40="",E40="",F40=""),"",IF(F40&gt;(D40+E40)/2,"Premium",IF(F40&lt;(D40+E40)/2,"Discount","Equilibrium")))</x:f>
      </x:c>
      <x:c r="H40" s="132"/>
      <x:c r="I40" s="132"/>
      <x:c r="J40" s="132"/>
      <x:c r="K40" s="142"/>
      <x:c r="L40" s="142"/>
      <x:c r="M40" s="142"/>
      <x:c r="N40" s="145" t="str">
        <x:f>IF(OR(K40="",L40="",M40=""),"",ABS((M40-K40)/(K40-L40)))</x:f>
      </x:c>
      <x:c r="O40" s="114" t="str">
        <x:f>IF(OR(K40="",L40="",K40=L40),"",('参数设置'!$B$4*'参数设置'!$B$5)/(ABS(K40-L40)/K40))</x:f>
      </x:c>
      <x:c r="P40" s="132"/>
      <x:c r="Q40" s="132"/>
      <x:c r="R40" s="132"/>
      <x:c r="S40" s="136"/>
    </x:row>
    <x:row r="41">
      <x:c r="A41" s="139"/>
      <x:c r="B41" s="132"/>
      <x:c r="C41" s="132"/>
      <x:c r="D41" s="142"/>
      <x:c r="E41" s="142"/>
      <x:c r="F41" s="142"/>
      <x:c r="G41" s="108" t="str">
        <x:f>IF(OR(D41="",E41="",F41=""),"",IF(F41&gt;(D41+E41)/2,"Premium",IF(F41&lt;(D41+E41)/2,"Discount","Equilibrium")))</x:f>
      </x:c>
      <x:c r="H41" s="132"/>
      <x:c r="I41" s="132"/>
      <x:c r="J41" s="132"/>
      <x:c r="K41" s="142"/>
      <x:c r="L41" s="142"/>
      <x:c r="M41" s="142"/>
      <x:c r="N41" s="145" t="str">
        <x:f>IF(OR(K41="",L41="",M41=""),"",ABS((M41-K41)/(K41-L41)))</x:f>
      </x:c>
      <x:c r="O41" s="114" t="str">
        <x:f>IF(OR(K41="",L41="",K41=L41),"",('参数设置'!$B$4*'参数设置'!$B$5)/(ABS(K41-L41)/K41))</x:f>
      </x:c>
      <x:c r="P41" s="132"/>
      <x:c r="Q41" s="132"/>
      <x:c r="R41" s="132"/>
      <x:c r="S41" s="136"/>
    </x:row>
    <x:row r="42">
      <x:c r="A42" s="139"/>
      <x:c r="B42" s="132"/>
      <x:c r="C42" s="132"/>
      <x:c r="D42" s="142"/>
      <x:c r="E42" s="142"/>
      <x:c r="F42" s="142"/>
      <x:c r="G42" s="108" t="str">
        <x:f>IF(OR(D42="",E42="",F42=""),"",IF(F42&gt;(D42+E42)/2,"Premium",IF(F42&lt;(D42+E42)/2,"Discount","Equilibrium")))</x:f>
      </x:c>
      <x:c r="H42" s="132"/>
      <x:c r="I42" s="132"/>
      <x:c r="J42" s="132"/>
      <x:c r="K42" s="142"/>
      <x:c r="L42" s="142"/>
      <x:c r="M42" s="142"/>
      <x:c r="N42" s="145" t="str">
        <x:f>IF(OR(K42="",L42="",M42=""),"",ABS((M42-K42)/(K42-L42)))</x:f>
      </x:c>
      <x:c r="O42" s="114" t="str">
        <x:f>IF(OR(K42="",L42="",K42=L42),"",('参数设置'!$B$4*'参数设置'!$B$5)/(ABS(K42-L42)/K42))</x:f>
      </x:c>
      <x:c r="P42" s="132"/>
      <x:c r="Q42" s="132"/>
      <x:c r="R42" s="132"/>
      <x:c r="S42" s="136"/>
    </x:row>
    <x:row r="43">
      <x:c r="A43" s="139"/>
      <x:c r="B43" s="132"/>
      <x:c r="C43" s="132"/>
      <x:c r="D43" s="142"/>
      <x:c r="E43" s="142"/>
      <x:c r="F43" s="142"/>
      <x:c r="G43" s="108" t="str">
        <x:f>IF(OR(D43="",E43="",F43=""),"",IF(F43&gt;(D43+E43)/2,"Premium",IF(F43&lt;(D43+E43)/2,"Discount","Equilibrium")))</x:f>
      </x:c>
      <x:c r="H43" s="132"/>
      <x:c r="I43" s="132"/>
      <x:c r="J43" s="132"/>
      <x:c r="K43" s="142"/>
      <x:c r="L43" s="142"/>
      <x:c r="M43" s="142"/>
      <x:c r="N43" s="145" t="str">
        <x:f>IF(OR(K43="",L43="",M43=""),"",ABS((M43-K43)/(K43-L43)))</x:f>
      </x:c>
      <x:c r="O43" s="114" t="str">
        <x:f>IF(OR(K43="",L43="",K43=L43),"",('参数设置'!$B$4*'参数设置'!$B$5)/(ABS(K43-L43)/K43))</x:f>
      </x:c>
      <x:c r="P43" s="132"/>
      <x:c r="Q43" s="132"/>
      <x:c r="R43" s="132"/>
      <x:c r="S43" s="136"/>
    </x:row>
    <x:row r="44">
      <x:c r="A44" s="139"/>
      <x:c r="B44" s="132"/>
      <x:c r="C44" s="132"/>
      <x:c r="D44" s="142"/>
      <x:c r="E44" s="142"/>
      <x:c r="F44" s="142"/>
      <x:c r="G44" s="108" t="str">
        <x:f>IF(OR(D44="",E44="",F44=""),"",IF(F44&gt;(D44+E44)/2,"Premium",IF(F44&lt;(D44+E44)/2,"Discount","Equilibrium")))</x:f>
      </x:c>
      <x:c r="H44" s="132"/>
      <x:c r="I44" s="132"/>
      <x:c r="J44" s="132"/>
      <x:c r="K44" s="142"/>
      <x:c r="L44" s="142"/>
      <x:c r="M44" s="142"/>
      <x:c r="N44" s="145" t="str">
        <x:f>IF(OR(K44="",L44="",M44=""),"",ABS((M44-K44)/(K44-L44)))</x:f>
      </x:c>
      <x:c r="O44" s="114" t="str">
        <x:f>IF(OR(K44="",L44="",K44=L44),"",('参数设置'!$B$4*'参数设置'!$B$5)/(ABS(K44-L44)/K44))</x:f>
      </x:c>
      <x:c r="P44" s="132"/>
      <x:c r="Q44" s="132"/>
      <x:c r="R44" s="132"/>
      <x:c r="S44" s="136"/>
    </x:row>
    <x:row r="45">
      <x:c r="A45" s="139"/>
      <x:c r="B45" s="132"/>
      <x:c r="C45" s="132"/>
      <x:c r="D45" s="142"/>
      <x:c r="E45" s="142"/>
      <x:c r="F45" s="142"/>
      <x:c r="G45" s="108" t="str">
        <x:f>IF(OR(D45="",E45="",F45=""),"",IF(F45&gt;(D45+E45)/2,"Premium",IF(F45&lt;(D45+E45)/2,"Discount","Equilibrium")))</x:f>
      </x:c>
      <x:c r="H45" s="132"/>
      <x:c r="I45" s="132"/>
      <x:c r="J45" s="132"/>
      <x:c r="K45" s="142"/>
      <x:c r="L45" s="142"/>
      <x:c r="M45" s="142"/>
      <x:c r="N45" s="145" t="str">
        <x:f>IF(OR(K45="",L45="",M45=""),"",ABS((M45-K45)/(K45-L45)))</x:f>
      </x:c>
      <x:c r="O45" s="114" t="str">
        <x:f>IF(OR(K45="",L45="",K45=L45),"",('参数设置'!$B$4*'参数设置'!$B$5)/(ABS(K45-L45)/K45))</x:f>
      </x:c>
      <x:c r="P45" s="132"/>
      <x:c r="Q45" s="132"/>
      <x:c r="R45" s="132"/>
      <x:c r="S45" s="136"/>
    </x:row>
    <x:row r="46">
      <x:c r="A46" s="139"/>
      <x:c r="B46" s="132"/>
      <x:c r="C46" s="132"/>
      <x:c r="D46" s="142"/>
      <x:c r="E46" s="142"/>
      <x:c r="F46" s="142"/>
      <x:c r="G46" s="108" t="str">
        <x:f>IF(OR(D46="",E46="",F46=""),"",IF(F46&gt;(D46+E46)/2,"Premium",IF(F46&lt;(D46+E46)/2,"Discount","Equilibrium")))</x:f>
      </x:c>
      <x:c r="H46" s="132"/>
      <x:c r="I46" s="132"/>
      <x:c r="J46" s="132"/>
      <x:c r="K46" s="142"/>
      <x:c r="L46" s="142"/>
      <x:c r="M46" s="142"/>
      <x:c r="N46" s="145" t="str">
        <x:f>IF(OR(K46="",L46="",M46=""),"",ABS((M46-K46)/(K46-L46)))</x:f>
      </x:c>
      <x:c r="O46" s="114" t="str">
        <x:f>IF(OR(K46="",L46="",K46=L46),"",('参数设置'!$B$4*'参数设置'!$B$5)/(ABS(K46-L46)/K46))</x:f>
      </x:c>
      <x:c r="P46" s="132"/>
      <x:c r="Q46" s="132"/>
      <x:c r="R46" s="132"/>
      <x:c r="S46" s="136"/>
    </x:row>
    <x:row r="47">
      <x:c r="A47" s="139"/>
      <x:c r="B47" s="132"/>
      <x:c r="C47" s="132"/>
      <x:c r="D47" s="142"/>
      <x:c r="E47" s="142"/>
      <x:c r="F47" s="142"/>
      <x:c r="G47" s="108" t="str">
        <x:f>IF(OR(D47="",E47="",F47=""),"",IF(F47&gt;(D47+E47)/2,"Premium",IF(F47&lt;(D47+E47)/2,"Discount","Equilibrium")))</x:f>
      </x:c>
      <x:c r="H47" s="132"/>
      <x:c r="I47" s="132"/>
      <x:c r="J47" s="132"/>
      <x:c r="K47" s="142"/>
      <x:c r="L47" s="142"/>
      <x:c r="M47" s="142"/>
      <x:c r="N47" s="145" t="str">
        <x:f>IF(OR(K47="",L47="",M47=""),"",ABS((M47-K47)/(K47-L47)))</x:f>
      </x:c>
      <x:c r="O47" s="114" t="str">
        <x:f>IF(OR(K47="",L47="",K47=L47),"",('参数设置'!$B$4*'参数设置'!$B$5)/(ABS(K47-L47)/K47))</x:f>
      </x:c>
      <x:c r="P47" s="132"/>
      <x:c r="Q47" s="132"/>
      <x:c r="R47" s="132"/>
      <x:c r="S47" s="136"/>
    </x:row>
    <x:row r="48">
      <x:c r="A48" s="139"/>
      <x:c r="B48" s="132"/>
      <x:c r="C48" s="132"/>
      <x:c r="D48" s="142"/>
      <x:c r="E48" s="142"/>
      <x:c r="F48" s="142"/>
      <x:c r="G48" s="108" t="str">
        <x:f>IF(OR(D48="",E48="",F48=""),"",IF(F48&gt;(D48+E48)/2,"Premium",IF(F48&lt;(D48+E48)/2,"Discount","Equilibrium")))</x:f>
      </x:c>
      <x:c r="H48" s="132"/>
      <x:c r="I48" s="132"/>
      <x:c r="J48" s="132"/>
      <x:c r="K48" s="142"/>
      <x:c r="L48" s="142"/>
      <x:c r="M48" s="142"/>
      <x:c r="N48" s="145" t="str">
        <x:f>IF(OR(K48="",L48="",M48=""),"",ABS((M48-K48)/(K48-L48)))</x:f>
      </x:c>
      <x:c r="O48" s="114" t="str">
        <x:f>IF(OR(K48="",L48="",K48=L48),"",('参数设置'!$B$4*'参数设置'!$B$5)/(ABS(K48-L48)/K48))</x:f>
      </x:c>
      <x:c r="P48" s="132"/>
      <x:c r="Q48" s="132"/>
      <x:c r="R48" s="132"/>
      <x:c r="S48" s="136"/>
    </x:row>
    <x:row r="49">
      <x:c r="A49" s="139"/>
      <x:c r="B49" s="132"/>
      <x:c r="C49" s="132"/>
      <x:c r="D49" s="142"/>
      <x:c r="E49" s="142"/>
      <x:c r="F49" s="142"/>
      <x:c r="G49" s="108" t="str">
        <x:f>IF(OR(D49="",E49="",F49=""),"",IF(F49&gt;(D49+E49)/2,"Premium",IF(F49&lt;(D49+E49)/2,"Discount","Equilibrium")))</x:f>
      </x:c>
      <x:c r="H49" s="132"/>
      <x:c r="I49" s="132"/>
      <x:c r="J49" s="132"/>
      <x:c r="K49" s="142"/>
      <x:c r="L49" s="142"/>
      <x:c r="M49" s="142"/>
      <x:c r="N49" s="145" t="str">
        <x:f>IF(OR(K49="",L49="",M49=""),"",ABS((M49-K49)/(K49-L49)))</x:f>
      </x:c>
      <x:c r="O49" s="114" t="str">
        <x:f>IF(OR(K49="",L49="",K49=L49),"",('参数设置'!$B$4*'参数设置'!$B$5)/(ABS(K49-L49)/K49))</x:f>
      </x:c>
      <x:c r="P49" s="132"/>
      <x:c r="Q49" s="132"/>
      <x:c r="R49" s="132"/>
      <x:c r="S49" s="136"/>
    </x:row>
    <x:row r="50">
      <x:c r="A50" s="139"/>
      <x:c r="B50" s="132"/>
      <x:c r="C50" s="132"/>
      <x:c r="D50" s="142"/>
      <x:c r="E50" s="142"/>
      <x:c r="F50" s="142"/>
      <x:c r="G50" s="108" t="str">
        <x:f>IF(OR(D50="",E50="",F50=""),"",IF(F50&gt;(D50+E50)/2,"Premium",IF(F50&lt;(D50+E50)/2,"Discount","Equilibrium")))</x:f>
      </x:c>
      <x:c r="H50" s="132"/>
      <x:c r="I50" s="132"/>
      <x:c r="J50" s="132"/>
      <x:c r="K50" s="142"/>
      <x:c r="L50" s="142"/>
      <x:c r="M50" s="142"/>
      <x:c r="N50" s="145" t="str">
        <x:f>IF(OR(K50="",L50="",M50=""),"",ABS((M50-K50)/(K50-L50)))</x:f>
      </x:c>
      <x:c r="O50" s="114" t="str">
        <x:f>IF(OR(K50="",L50="",K50=L50),"",('参数设置'!$B$4*'参数设置'!$B$5)/(ABS(K50-L50)/K50))</x:f>
      </x:c>
      <x:c r="P50" s="132"/>
      <x:c r="Q50" s="132"/>
      <x:c r="R50" s="132"/>
      <x:c r="S50" s="136"/>
    </x:row>
    <x:row r="51">
      <x:c r="A51" s="139"/>
      <x:c r="B51" s="132"/>
      <x:c r="C51" s="132"/>
      <x:c r="D51" s="142"/>
      <x:c r="E51" s="142"/>
      <x:c r="F51" s="142"/>
      <x:c r="G51" s="108" t="str">
        <x:f>IF(OR(D51="",E51="",F51=""),"",IF(F51&gt;(D51+E51)/2,"Premium",IF(F51&lt;(D51+E51)/2,"Discount","Equilibrium")))</x:f>
      </x:c>
      <x:c r="H51" s="132"/>
      <x:c r="I51" s="132"/>
      <x:c r="J51" s="132"/>
      <x:c r="K51" s="142"/>
      <x:c r="L51" s="142"/>
      <x:c r="M51" s="142"/>
      <x:c r="N51" s="145" t="str">
        <x:f>IF(OR(K51="",L51="",M51=""),"",ABS((M51-K51)/(K51-L51)))</x:f>
      </x:c>
      <x:c r="O51" s="114" t="str">
        <x:f>IF(OR(K51="",L51="",K51=L51),"",('参数设置'!$B$4*'参数设置'!$B$5)/(ABS(K51-L51)/K51))</x:f>
      </x:c>
      <x:c r="P51" s="132"/>
      <x:c r="Q51" s="132"/>
      <x:c r="R51" s="132"/>
      <x:c r="S51" s="136"/>
    </x:row>
    <x:row r="52">
      <x:c r="A52" s="139"/>
      <x:c r="B52" s="132"/>
      <x:c r="C52" s="132"/>
      <x:c r="D52" s="142"/>
      <x:c r="E52" s="142"/>
      <x:c r="F52" s="142"/>
      <x:c r="G52" s="108" t="str">
        <x:f>IF(OR(D52="",E52="",F52=""),"",IF(F52&gt;(D52+E52)/2,"Premium",IF(F52&lt;(D52+E52)/2,"Discount","Equilibrium")))</x:f>
      </x:c>
      <x:c r="H52" s="132"/>
      <x:c r="I52" s="132"/>
      <x:c r="J52" s="132"/>
      <x:c r="K52" s="142"/>
      <x:c r="L52" s="142"/>
      <x:c r="M52" s="142"/>
      <x:c r="N52" s="145" t="str">
        <x:f>IF(OR(K52="",L52="",M52=""),"",ABS((M52-K52)/(K52-L52)))</x:f>
      </x:c>
      <x:c r="O52" s="114" t="str">
        <x:f>IF(OR(K52="",L52="",K52=L52),"",('参数设置'!$B$4*'参数设置'!$B$5)/(ABS(K52-L52)/K52))</x:f>
      </x:c>
      <x:c r="P52" s="132"/>
      <x:c r="Q52" s="132"/>
      <x:c r="R52" s="132"/>
      <x:c r="S52" s="136"/>
    </x:row>
    <x:row r="53">
      <x:c r="A53" s="139"/>
      <x:c r="B53" s="132"/>
      <x:c r="C53" s="132"/>
      <x:c r="D53" s="142"/>
      <x:c r="E53" s="142"/>
      <x:c r="F53" s="142"/>
      <x:c r="G53" s="108" t="str">
        <x:f>IF(OR(D53="",E53="",F53=""),"",IF(F53&gt;(D53+E53)/2,"Premium",IF(F53&lt;(D53+E53)/2,"Discount","Equilibrium")))</x:f>
      </x:c>
      <x:c r="H53" s="132"/>
      <x:c r="I53" s="132"/>
      <x:c r="J53" s="132"/>
      <x:c r="K53" s="142"/>
      <x:c r="L53" s="142"/>
      <x:c r="M53" s="142"/>
      <x:c r="N53" s="145" t="str">
        <x:f>IF(OR(K53="",L53="",M53=""),"",ABS((M53-K53)/(K53-L53)))</x:f>
      </x:c>
      <x:c r="O53" s="114" t="str">
        <x:f>IF(OR(K53="",L53="",K53=L53),"",('参数设置'!$B$4*'参数设置'!$B$5)/(ABS(K53-L53)/K53))</x:f>
      </x:c>
      <x:c r="P53" s="132"/>
      <x:c r="Q53" s="132"/>
      <x:c r="R53" s="132"/>
      <x:c r="S53" s="136"/>
    </x:row>
    <x:row r="54">
      <x:c r="A54" s="139"/>
      <x:c r="B54" s="132"/>
      <x:c r="C54" s="132"/>
      <x:c r="D54" s="142"/>
      <x:c r="E54" s="142"/>
      <x:c r="F54" s="142"/>
      <x:c r="G54" s="108" t="str">
        <x:f>IF(OR(D54="",E54="",F54=""),"",IF(F54&gt;(D54+E54)/2,"Premium",IF(F54&lt;(D54+E54)/2,"Discount","Equilibrium")))</x:f>
      </x:c>
      <x:c r="H54" s="132"/>
      <x:c r="I54" s="132"/>
      <x:c r="J54" s="132"/>
      <x:c r="K54" s="142"/>
      <x:c r="L54" s="142"/>
      <x:c r="M54" s="142"/>
      <x:c r="N54" s="145" t="str">
        <x:f>IF(OR(K54="",L54="",M54=""),"",ABS((M54-K54)/(K54-L54)))</x:f>
      </x:c>
      <x:c r="O54" s="114" t="str">
        <x:f>IF(OR(K54="",L54="",K54=L54),"",('参数设置'!$B$4*'参数设置'!$B$5)/(ABS(K54-L54)/K54))</x:f>
      </x:c>
      <x:c r="P54" s="132"/>
      <x:c r="Q54" s="132"/>
      <x:c r="R54" s="132"/>
      <x:c r="S54" s="136"/>
    </x:row>
    <x:row r="55">
      <x:c r="A55" s="139"/>
      <x:c r="B55" s="132"/>
      <x:c r="C55" s="132"/>
      <x:c r="D55" s="142"/>
      <x:c r="E55" s="142"/>
      <x:c r="F55" s="142"/>
      <x:c r="G55" s="108" t="str">
        <x:f>IF(OR(D55="",E55="",F55=""),"",IF(F55&gt;(D55+E55)/2,"Premium",IF(F55&lt;(D55+E55)/2,"Discount","Equilibrium")))</x:f>
      </x:c>
      <x:c r="H55" s="132"/>
      <x:c r="I55" s="132"/>
      <x:c r="J55" s="132"/>
      <x:c r="K55" s="142"/>
      <x:c r="L55" s="142"/>
      <x:c r="M55" s="142"/>
      <x:c r="N55" s="145" t="str">
        <x:f>IF(OR(K55="",L55="",M55=""),"",ABS((M55-K55)/(K55-L55)))</x:f>
      </x:c>
      <x:c r="O55" s="114" t="str">
        <x:f>IF(OR(K55="",L55="",K55=L55),"",('参数设置'!$B$4*'参数设置'!$B$5)/(ABS(K55-L55)/K55))</x:f>
      </x:c>
      <x:c r="P55" s="132"/>
      <x:c r="Q55" s="132"/>
      <x:c r="R55" s="132"/>
      <x:c r="S55" s="136"/>
    </x:row>
    <x:row r="56">
      <x:c r="A56" s="139"/>
      <x:c r="B56" s="132"/>
      <x:c r="C56" s="132"/>
      <x:c r="D56" s="142"/>
      <x:c r="E56" s="142"/>
      <x:c r="F56" s="142"/>
      <x:c r="G56" s="108" t="str">
        <x:f>IF(OR(D56="",E56="",F56=""),"",IF(F56&gt;(D56+E56)/2,"Premium",IF(F56&lt;(D56+E56)/2,"Discount","Equilibrium")))</x:f>
      </x:c>
      <x:c r="H56" s="132"/>
      <x:c r="I56" s="132"/>
      <x:c r="J56" s="132"/>
      <x:c r="K56" s="142"/>
      <x:c r="L56" s="142"/>
      <x:c r="M56" s="142"/>
      <x:c r="N56" s="145" t="str">
        <x:f>IF(OR(K56="",L56="",M56=""),"",ABS((M56-K56)/(K56-L56)))</x:f>
      </x:c>
      <x:c r="O56" s="114" t="str">
        <x:f>IF(OR(K56="",L56="",K56=L56),"",('参数设置'!$B$4*'参数设置'!$B$5)/(ABS(K56-L56)/K56))</x:f>
      </x:c>
      <x:c r="P56" s="132"/>
      <x:c r="Q56" s="132"/>
      <x:c r="R56" s="132"/>
      <x:c r="S56" s="136"/>
    </x:row>
    <x:row r="57">
      <x:c r="A57" s="139"/>
      <x:c r="B57" s="132"/>
      <x:c r="C57" s="132"/>
      <x:c r="D57" s="142"/>
      <x:c r="E57" s="142"/>
      <x:c r="F57" s="142"/>
      <x:c r="G57" s="108" t="str">
        <x:f>IF(OR(D57="",E57="",F57=""),"",IF(F57&gt;(D57+E57)/2,"Premium",IF(F57&lt;(D57+E57)/2,"Discount","Equilibrium")))</x:f>
      </x:c>
      <x:c r="H57" s="132"/>
      <x:c r="I57" s="132"/>
      <x:c r="J57" s="132"/>
      <x:c r="K57" s="142"/>
      <x:c r="L57" s="142"/>
      <x:c r="M57" s="142"/>
      <x:c r="N57" s="145" t="str">
        <x:f>IF(OR(K57="",L57="",M57=""),"",ABS((M57-K57)/(K57-L57)))</x:f>
      </x:c>
      <x:c r="O57" s="114" t="str">
        <x:f>IF(OR(K57="",L57="",K57=L57),"",('参数设置'!$B$4*'参数设置'!$B$5)/(ABS(K57-L57)/K57))</x:f>
      </x:c>
      <x:c r="P57" s="132"/>
      <x:c r="Q57" s="132"/>
      <x:c r="R57" s="132"/>
      <x:c r="S57" s="136"/>
    </x:row>
    <x:row r="58">
      <x:c r="A58" s="139"/>
      <x:c r="B58" s="132"/>
      <x:c r="C58" s="132"/>
      <x:c r="D58" s="142"/>
      <x:c r="E58" s="142"/>
      <x:c r="F58" s="142"/>
      <x:c r="G58" s="108" t="str">
        <x:f>IF(OR(D58="",E58="",F58=""),"",IF(F58&gt;(D58+E58)/2,"Premium",IF(F58&lt;(D58+E58)/2,"Discount","Equilibrium")))</x:f>
      </x:c>
      <x:c r="H58" s="132"/>
      <x:c r="I58" s="132"/>
      <x:c r="J58" s="132"/>
      <x:c r="K58" s="142"/>
      <x:c r="L58" s="142"/>
      <x:c r="M58" s="142"/>
      <x:c r="N58" s="145" t="str">
        <x:f>IF(OR(K58="",L58="",M58=""),"",ABS((M58-K58)/(K58-L58)))</x:f>
      </x:c>
      <x:c r="O58" s="114" t="str">
        <x:f>IF(OR(K58="",L58="",K58=L58),"",('参数设置'!$B$4*'参数设置'!$B$5)/(ABS(K58-L58)/K58))</x:f>
      </x:c>
      <x:c r="P58" s="132"/>
      <x:c r="Q58" s="132"/>
      <x:c r="R58" s="132"/>
      <x:c r="S58" s="136"/>
    </x:row>
    <x:row r="59">
      <x:c r="A59" s="139"/>
      <x:c r="B59" s="132"/>
      <x:c r="C59" s="132"/>
      <x:c r="D59" s="142"/>
      <x:c r="E59" s="142"/>
      <x:c r="F59" s="142"/>
      <x:c r="G59" s="108" t="str">
        <x:f>IF(OR(D59="",E59="",F59=""),"",IF(F59&gt;(D59+E59)/2,"Premium",IF(F59&lt;(D59+E59)/2,"Discount","Equilibrium")))</x:f>
      </x:c>
      <x:c r="H59" s="132"/>
      <x:c r="I59" s="132"/>
      <x:c r="J59" s="132"/>
      <x:c r="K59" s="142"/>
      <x:c r="L59" s="142"/>
      <x:c r="M59" s="142"/>
      <x:c r="N59" s="145" t="str">
        <x:f>IF(OR(K59="",L59="",M59=""),"",ABS((M59-K59)/(K59-L59)))</x:f>
      </x:c>
      <x:c r="O59" s="114" t="str">
        <x:f>IF(OR(K59="",L59="",K59=L59),"",('参数设置'!$B$4*'参数设置'!$B$5)/(ABS(K59-L59)/K59))</x:f>
      </x:c>
      <x:c r="P59" s="132"/>
      <x:c r="Q59" s="132"/>
      <x:c r="R59" s="132"/>
      <x:c r="S59" s="136"/>
    </x:row>
    <x:row r="60">
      <x:c r="A60" s="139"/>
      <x:c r="B60" s="132"/>
      <x:c r="C60" s="132"/>
      <x:c r="D60" s="142"/>
      <x:c r="E60" s="142"/>
      <x:c r="F60" s="142"/>
      <x:c r="G60" s="108" t="str">
        <x:f>IF(OR(D60="",E60="",F60=""),"",IF(F60&gt;(D60+E60)/2,"Premium",IF(F60&lt;(D60+E60)/2,"Discount","Equilibrium")))</x:f>
      </x:c>
      <x:c r="H60" s="132"/>
      <x:c r="I60" s="132"/>
      <x:c r="J60" s="132"/>
      <x:c r="K60" s="142"/>
      <x:c r="L60" s="142"/>
      <x:c r="M60" s="142"/>
      <x:c r="N60" s="145" t="str">
        <x:f>IF(OR(K60="",L60="",M60=""),"",ABS((M60-K60)/(K60-L60)))</x:f>
      </x:c>
      <x:c r="O60" s="114" t="str">
        <x:f>IF(OR(K60="",L60="",K60=L60),"",('参数设置'!$B$4*'参数设置'!$B$5)/(ABS(K60-L60)/K60))</x:f>
      </x:c>
      <x:c r="P60" s="132"/>
      <x:c r="Q60" s="132"/>
      <x:c r="R60" s="132"/>
      <x:c r="S60" s="136"/>
    </x:row>
    <x:row r="61">
      <x:c r="A61" s="139"/>
      <x:c r="B61" s="132"/>
      <x:c r="C61" s="132"/>
      <x:c r="D61" s="142"/>
      <x:c r="E61" s="142"/>
      <x:c r="F61" s="142"/>
      <x:c r="G61" s="108" t="str">
        <x:f>IF(OR(D61="",E61="",F61=""),"",IF(F61&gt;(D61+E61)/2,"Premium",IF(F61&lt;(D61+E61)/2,"Discount","Equilibrium")))</x:f>
      </x:c>
      <x:c r="H61" s="132"/>
      <x:c r="I61" s="132"/>
      <x:c r="J61" s="132"/>
      <x:c r="K61" s="142"/>
      <x:c r="L61" s="142"/>
      <x:c r="M61" s="142"/>
      <x:c r="N61" s="145" t="str">
        <x:f>IF(OR(K61="",L61="",M61=""),"",ABS((M61-K61)/(K61-L61)))</x:f>
      </x:c>
      <x:c r="O61" s="114" t="str">
        <x:f>IF(OR(K61="",L61="",K61=L61),"",('参数设置'!$B$4*'参数设置'!$B$5)/(ABS(K61-L61)/K61))</x:f>
      </x:c>
      <x:c r="P61" s="132"/>
      <x:c r="Q61" s="132"/>
      <x:c r="R61" s="132"/>
      <x:c r="S61" s="136"/>
    </x:row>
    <x:row r="62">
      <x:c r="A62" s="139"/>
      <x:c r="B62" s="132"/>
      <x:c r="C62" s="132"/>
      <x:c r="D62" s="142"/>
      <x:c r="E62" s="142"/>
      <x:c r="F62" s="142"/>
      <x:c r="G62" s="108" t="str">
        <x:f>IF(OR(D62="",E62="",F62=""),"",IF(F62&gt;(D62+E62)/2,"Premium",IF(F62&lt;(D62+E62)/2,"Discount","Equilibrium")))</x:f>
      </x:c>
      <x:c r="H62" s="132"/>
      <x:c r="I62" s="132"/>
      <x:c r="J62" s="132"/>
      <x:c r="K62" s="142"/>
      <x:c r="L62" s="142"/>
      <x:c r="M62" s="142"/>
      <x:c r="N62" s="145" t="str">
        <x:f>IF(OR(K62="",L62="",M62=""),"",ABS((M62-K62)/(K62-L62)))</x:f>
      </x:c>
      <x:c r="O62" s="114" t="str">
        <x:f>IF(OR(K62="",L62="",K62=L62),"",('参数设置'!$B$4*'参数设置'!$B$5)/(ABS(K62-L62)/K62))</x:f>
      </x:c>
      <x:c r="P62" s="132"/>
      <x:c r="Q62" s="132"/>
      <x:c r="R62" s="132"/>
      <x:c r="S62" s="136"/>
    </x:row>
    <x:row r="63">
      <x:c r="A63" s="139"/>
      <x:c r="B63" s="132"/>
      <x:c r="C63" s="132"/>
      <x:c r="D63" s="142"/>
      <x:c r="E63" s="142"/>
      <x:c r="F63" s="142"/>
      <x:c r="G63" s="108" t="str">
        <x:f>IF(OR(D63="",E63="",F63=""),"",IF(F63&gt;(D63+E63)/2,"Premium",IF(F63&lt;(D63+E63)/2,"Discount","Equilibrium")))</x:f>
      </x:c>
      <x:c r="H63" s="132"/>
      <x:c r="I63" s="132"/>
      <x:c r="J63" s="132"/>
      <x:c r="K63" s="142"/>
      <x:c r="L63" s="142"/>
      <x:c r="M63" s="142"/>
      <x:c r="N63" s="145" t="str">
        <x:f>IF(OR(K63="",L63="",M63=""),"",ABS((M63-K63)/(K63-L63)))</x:f>
      </x:c>
      <x:c r="O63" s="114" t="str">
        <x:f>IF(OR(K63="",L63="",K63=L63),"",('参数设置'!$B$4*'参数设置'!$B$5)/(ABS(K63-L63)/K63))</x:f>
      </x:c>
      <x:c r="P63" s="132"/>
      <x:c r="Q63" s="132"/>
      <x:c r="R63" s="132"/>
      <x:c r="S63" s="136"/>
    </x:row>
    <x:row r="64">
      <x:c r="A64" s="139"/>
      <x:c r="B64" s="132"/>
      <x:c r="C64" s="132"/>
      <x:c r="D64" s="142"/>
      <x:c r="E64" s="142"/>
      <x:c r="F64" s="142"/>
      <x:c r="G64" s="108" t="str">
        <x:f>IF(OR(D64="",E64="",F64=""),"",IF(F64&gt;(D64+E64)/2,"Premium",IF(F64&lt;(D64+E64)/2,"Discount","Equilibrium")))</x:f>
      </x:c>
      <x:c r="H64" s="132"/>
      <x:c r="I64" s="132"/>
      <x:c r="J64" s="132"/>
      <x:c r="K64" s="142"/>
      <x:c r="L64" s="142"/>
      <x:c r="M64" s="142"/>
      <x:c r="N64" s="145" t="str">
        <x:f>IF(OR(K64="",L64="",M64=""),"",ABS((M64-K64)/(K64-L64)))</x:f>
      </x:c>
      <x:c r="O64" s="114" t="str">
        <x:f>IF(OR(K64="",L64="",K64=L64),"",('参数设置'!$B$4*'参数设置'!$B$5)/(ABS(K64-L64)/K64))</x:f>
      </x:c>
      <x:c r="P64" s="132"/>
      <x:c r="Q64" s="132"/>
      <x:c r="R64" s="132"/>
      <x:c r="S64" s="136"/>
    </x:row>
    <x:row r="65">
      <x:c r="A65" s="139"/>
      <x:c r="B65" s="132"/>
      <x:c r="C65" s="132"/>
      <x:c r="D65" s="142"/>
      <x:c r="E65" s="142"/>
      <x:c r="F65" s="142"/>
      <x:c r="G65" s="108" t="str">
        <x:f>IF(OR(D65="",E65="",F65=""),"",IF(F65&gt;(D65+E65)/2,"Premium",IF(F65&lt;(D65+E65)/2,"Discount","Equilibrium")))</x:f>
      </x:c>
      <x:c r="H65" s="132"/>
      <x:c r="I65" s="132"/>
      <x:c r="J65" s="132"/>
      <x:c r="K65" s="142"/>
      <x:c r="L65" s="142"/>
      <x:c r="M65" s="142"/>
      <x:c r="N65" s="145" t="str">
        <x:f>IF(OR(K65="",L65="",M65=""),"",ABS((M65-K65)/(K65-L65)))</x:f>
      </x:c>
      <x:c r="O65" s="114" t="str">
        <x:f>IF(OR(K65="",L65="",K65=L65),"",('参数设置'!$B$4*'参数设置'!$B$5)/(ABS(K65-L65)/K65))</x:f>
      </x:c>
      <x:c r="P65" s="132"/>
      <x:c r="Q65" s="132"/>
      <x:c r="R65" s="132"/>
      <x:c r="S65" s="136"/>
    </x:row>
    <x:row r="66">
      <x:c r="A66" s="139"/>
      <x:c r="B66" s="132"/>
      <x:c r="C66" s="132"/>
      <x:c r="D66" s="142"/>
      <x:c r="E66" s="142"/>
      <x:c r="F66" s="142"/>
      <x:c r="G66" s="108" t="str">
        <x:f>IF(OR(D66="",E66="",F66=""),"",IF(F66&gt;(D66+E66)/2,"Premium",IF(F66&lt;(D66+E66)/2,"Discount","Equilibrium")))</x:f>
      </x:c>
      <x:c r="H66" s="132"/>
      <x:c r="I66" s="132"/>
      <x:c r="J66" s="132"/>
      <x:c r="K66" s="142"/>
      <x:c r="L66" s="142"/>
      <x:c r="M66" s="142"/>
      <x:c r="N66" s="145" t="str">
        <x:f>IF(OR(K66="",L66="",M66=""),"",ABS((M66-K66)/(K66-L66)))</x:f>
      </x:c>
      <x:c r="O66" s="114" t="str">
        <x:f>IF(OR(K66="",L66="",K66=L66),"",('参数设置'!$B$4*'参数设置'!$B$5)/(ABS(K66-L66)/K66))</x:f>
      </x:c>
      <x:c r="P66" s="132"/>
      <x:c r="Q66" s="132"/>
      <x:c r="R66" s="132"/>
      <x:c r="S66" s="136"/>
    </x:row>
    <x:row r="67">
      <x:c r="A67" s="139"/>
      <x:c r="B67" s="132"/>
      <x:c r="C67" s="132"/>
      <x:c r="D67" s="142"/>
      <x:c r="E67" s="142"/>
      <x:c r="F67" s="142"/>
      <x:c r="G67" s="108" t="str">
        <x:f>IF(OR(D67="",E67="",F67=""),"",IF(F67&gt;(D67+E67)/2,"Premium",IF(F67&lt;(D67+E67)/2,"Discount","Equilibrium")))</x:f>
      </x:c>
      <x:c r="H67" s="132"/>
      <x:c r="I67" s="132"/>
      <x:c r="J67" s="132"/>
      <x:c r="K67" s="142"/>
      <x:c r="L67" s="142"/>
      <x:c r="M67" s="142"/>
      <x:c r="N67" s="145" t="str">
        <x:f>IF(OR(K67="",L67="",M67=""),"",ABS((M67-K67)/(K67-L67)))</x:f>
      </x:c>
      <x:c r="O67" s="114" t="str">
        <x:f>IF(OR(K67="",L67="",K67=L67),"",('参数设置'!$B$4*'参数设置'!$B$5)/(ABS(K67-L67)/K67))</x:f>
      </x:c>
      <x:c r="P67" s="132"/>
      <x:c r="Q67" s="132"/>
      <x:c r="R67" s="132"/>
      <x:c r="S67" s="136"/>
    </x:row>
    <x:row r="68">
      <x:c r="A68" s="139"/>
      <x:c r="B68" s="132"/>
      <x:c r="C68" s="132"/>
      <x:c r="D68" s="142"/>
      <x:c r="E68" s="142"/>
      <x:c r="F68" s="142"/>
      <x:c r="G68" s="108" t="str">
        <x:f>IF(OR(D68="",E68="",F68=""),"",IF(F68&gt;(D68+E68)/2,"Premium",IF(F68&lt;(D68+E68)/2,"Discount","Equilibrium")))</x:f>
      </x:c>
      <x:c r="H68" s="132"/>
      <x:c r="I68" s="132"/>
      <x:c r="J68" s="132"/>
      <x:c r="K68" s="142"/>
      <x:c r="L68" s="142"/>
      <x:c r="M68" s="142"/>
      <x:c r="N68" s="145" t="str">
        <x:f>IF(OR(K68="",L68="",M68=""),"",ABS((M68-K68)/(K68-L68)))</x:f>
      </x:c>
      <x:c r="O68" s="114" t="str">
        <x:f>IF(OR(K68="",L68="",K68=L68),"",('参数设置'!$B$4*'参数设置'!$B$5)/(ABS(K68-L68)/K68))</x:f>
      </x:c>
      <x:c r="P68" s="132"/>
      <x:c r="Q68" s="132"/>
      <x:c r="R68" s="132"/>
      <x:c r="S68" s="136"/>
    </x:row>
    <x:row r="69">
      <x:c r="A69" s="139"/>
      <x:c r="B69" s="132"/>
      <x:c r="C69" s="132"/>
      <x:c r="D69" s="142"/>
      <x:c r="E69" s="142"/>
      <x:c r="F69" s="142"/>
      <x:c r="G69" s="108" t="str">
        <x:f>IF(OR(D69="",E69="",F69=""),"",IF(F69&gt;(D69+E69)/2,"Premium",IF(F69&lt;(D69+E69)/2,"Discount","Equilibrium")))</x:f>
      </x:c>
      <x:c r="H69" s="132"/>
      <x:c r="I69" s="132"/>
      <x:c r="J69" s="132"/>
      <x:c r="K69" s="142"/>
      <x:c r="L69" s="142"/>
      <x:c r="M69" s="142"/>
      <x:c r="N69" s="145" t="str">
        <x:f>IF(OR(K69="",L69="",M69=""),"",ABS((M69-K69)/(K69-L69)))</x:f>
      </x:c>
      <x:c r="O69" s="114" t="str">
        <x:f>IF(OR(K69="",L69="",K69=L69),"",('参数设置'!$B$4*'参数设置'!$B$5)/(ABS(K69-L69)/K69))</x:f>
      </x:c>
      <x:c r="P69" s="132"/>
      <x:c r="Q69" s="132"/>
      <x:c r="R69" s="132"/>
      <x:c r="S69" s="136"/>
    </x:row>
    <x:row r="70">
      <x:c r="A70" s="139"/>
      <x:c r="B70" s="132"/>
      <x:c r="C70" s="132"/>
      <x:c r="D70" s="142"/>
      <x:c r="E70" s="142"/>
      <x:c r="F70" s="142"/>
      <x:c r="G70" s="108" t="str">
        <x:f>IF(OR(D70="",E70="",F70=""),"",IF(F70&gt;(D70+E70)/2,"Premium",IF(F70&lt;(D70+E70)/2,"Discount","Equilibrium")))</x:f>
      </x:c>
      <x:c r="H70" s="132"/>
      <x:c r="I70" s="132"/>
      <x:c r="J70" s="132"/>
      <x:c r="K70" s="142"/>
      <x:c r="L70" s="142"/>
      <x:c r="M70" s="142"/>
      <x:c r="N70" s="145" t="str">
        <x:f>IF(OR(K70="",L70="",M70=""),"",ABS((M70-K70)/(K70-L70)))</x:f>
      </x:c>
      <x:c r="O70" s="114" t="str">
        <x:f>IF(OR(K70="",L70="",K70=L70),"",('参数设置'!$B$4*'参数设置'!$B$5)/(ABS(K70-L70)/K70))</x:f>
      </x:c>
      <x:c r="P70" s="132"/>
      <x:c r="Q70" s="132"/>
      <x:c r="R70" s="132"/>
      <x:c r="S70" s="136"/>
    </x:row>
    <x:row r="71">
      <x:c r="A71" s="139"/>
      <x:c r="B71" s="132"/>
      <x:c r="C71" s="132"/>
      <x:c r="D71" s="142"/>
      <x:c r="E71" s="142"/>
      <x:c r="F71" s="142"/>
      <x:c r="G71" s="108" t="str">
        <x:f>IF(OR(D71="",E71="",F71=""),"",IF(F71&gt;(D71+E71)/2,"Premium",IF(F71&lt;(D71+E71)/2,"Discount","Equilibrium")))</x:f>
      </x:c>
      <x:c r="H71" s="132"/>
      <x:c r="I71" s="132"/>
      <x:c r="J71" s="132"/>
      <x:c r="K71" s="142"/>
      <x:c r="L71" s="142"/>
      <x:c r="M71" s="142"/>
      <x:c r="N71" s="145" t="str">
        <x:f>IF(OR(K71="",L71="",M71=""),"",ABS((M71-K71)/(K71-L71)))</x:f>
      </x:c>
      <x:c r="O71" s="114" t="str">
        <x:f>IF(OR(K71="",L71="",K71=L71),"",('参数设置'!$B$4*'参数设置'!$B$5)/(ABS(K71-L71)/K71))</x:f>
      </x:c>
      <x:c r="P71" s="132"/>
      <x:c r="Q71" s="132"/>
      <x:c r="R71" s="132"/>
      <x:c r="S71" s="136"/>
    </x:row>
    <x:row r="72">
      <x:c r="A72" s="139"/>
      <x:c r="B72" s="132"/>
      <x:c r="C72" s="132"/>
      <x:c r="D72" s="142"/>
      <x:c r="E72" s="142"/>
      <x:c r="F72" s="142"/>
      <x:c r="G72" s="108" t="str">
        <x:f>IF(OR(D72="",E72="",F72=""),"",IF(F72&gt;(D72+E72)/2,"Premium",IF(F72&lt;(D72+E72)/2,"Discount","Equilibrium")))</x:f>
      </x:c>
      <x:c r="H72" s="132"/>
      <x:c r="I72" s="132"/>
      <x:c r="J72" s="132"/>
      <x:c r="K72" s="142"/>
      <x:c r="L72" s="142"/>
      <x:c r="M72" s="142"/>
      <x:c r="N72" s="145" t="str">
        <x:f>IF(OR(K72="",L72="",M72=""),"",ABS((M72-K72)/(K72-L72)))</x:f>
      </x:c>
      <x:c r="O72" s="114" t="str">
        <x:f>IF(OR(K72="",L72="",K72=L72),"",('参数设置'!$B$4*'参数设置'!$B$5)/(ABS(K72-L72)/K72))</x:f>
      </x:c>
      <x:c r="P72" s="132"/>
      <x:c r="Q72" s="132"/>
      <x:c r="R72" s="132"/>
      <x:c r="S72" s="136"/>
    </x:row>
    <x:row r="73">
      <x:c r="A73" s="139"/>
      <x:c r="B73" s="132"/>
      <x:c r="C73" s="132"/>
      <x:c r="D73" s="142"/>
      <x:c r="E73" s="142"/>
      <x:c r="F73" s="142"/>
      <x:c r="G73" s="108" t="str">
        <x:f>IF(OR(D73="",E73="",F73=""),"",IF(F73&gt;(D73+E73)/2,"Premium",IF(F73&lt;(D73+E73)/2,"Discount","Equilibrium")))</x:f>
      </x:c>
      <x:c r="H73" s="132"/>
      <x:c r="I73" s="132"/>
      <x:c r="J73" s="132"/>
      <x:c r="K73" s="142"/>
      <x:c r="L73" s="142"/>
      <x:c r="M73" s="142"/>
      <x:c r="N73" s="145" t="str">
        <x:f>IF(OR(K73="",L73="",M73=""),"",ABS((M73-K73)/(K73-L73)))</x:f>
      </x:c>
      <x:c r="O73" s="114" t="str">
        <x:f>IF(OR(K73="",L73="",K73=L73),"",('参数设置'!$B$4*'参数设置'!$B$5)/(ABS(K73-L73)/K73))</x:f>
      </x:c>
      <x:c r="P73" s="132"/>
      <x:c r="Q73" s="132"/>
      <x:c r="R73" s="132"/>
      <x:c r="S73" s="136"/>
    </x:row>
    <x:row r="74">
      <x:c r="A74" s="139"/>
      <x:c r="B74" s="132"/>
      <x:c r="C74" s="132"/>
      <x:c r="D74" s="142"/>
      <x:c r="E74" s="142"/>
      <x:c r="F74" s="142"/>
      <x:c r="G74" s="108" t="str">
        <x:f>IF(OR(D74="",E74="",F74=""),"",IF(F74&gt;(D74+E74)/2,"Premium",IF(F74&lt;(D74+E74)/2,"Discount","Equilibrium")))</x:f>
      </x:c>
      <x:c r="H74" s="132"/>
      <x:c r="I74" s="132"/>
      <x:c r="J74" s="132"/>
      <x:c r="K74" s="142"/>
      <x:c r="L74" s="142"/>
      <x:c r="M74" s="142"/>
      <x:c r="N74" s="145" t="str">
        <x:f>IF(OR(K74="",L74="",M74=""),"",ABS((M74-K74)/(K74-L74)))</x:f>
      </x:c>
      <x:c r="O74" s="114" t="str">
        <x:f>IF(OR(K74="",L74="",K74=L74),"",('参数设置'!$B$4*'参数设置'!$B$5)/(ABS(K74-L74)/K74))</x:f>
      </x:c>
      <x:c r="P74" s="132"/>
      <x:c r="Q74" s="132"/>
      <x:c r="R74" s="132"/>
      <x:c r="S74" s="136"/>
    </x:row>
    <x:row r="75">
      <x:c r="A75" s="139"/>
      <x:c r="B75" s="132"/>
      <x:c r="C75" s="132"/>
      <x:c r="D75" s="142"/>
      <x:c r="E75" s="142"/>
      <x:c r="F75" s="142"/>
      <x:c r="G75" s="108" t="str">
        <x:f>IF(OR(D75="",E75="",F75=""),"",IF(F75&gt;(D75+E75)/2,"Premium",IF(F75&lt;(D75+E75)/2,"Discount","Equilibrium")))</x:f>
      </x:c>
      <x:c r="H75" s="132"/>
      <x:c r="I75" s="132"/>
      <x:c r="J75" s="132"/>
      <x:c r="K75" s="142"/>
      <x:c r="L75" s="142"/>
      <x:c r="M75" s="142"/>
      <x:c r="N75" s="145" t="str">
        <x:f>IF(OR(K75="",L75="",M75=""),"",ABS((M75-K75)/(K75-L75)))</x:f>
      </x:c>
      <x:c r="O75" s="114" t="str">
        <x:f>IF(OR(K75="",L75="",K75=L75),"",('参数设置'!$B$4*'参数设置'!$B$5)/(ABS(K75-L75)/K75))</x:f>
      </x:c>
      <x:c r="P75" s="132"/>
      <x:c r="Q75" s="132"/>
      <x:c r="R75" s="132"/>
      <x:c r="S75" s="136"/>
    </x:row>
    <x:row r="76">
      <x:c r="A76" s="139"/>
      <x:c r="B76" s="132"/>
      <x:c r="C76" s="132"/>
      <x:c r="D76" s="142"/>
      <x:c r="E76" s="142"/>
      <x:c r="F76" s="142"/>
      <x:c r="G76" s="108" t="str">
        <x:f>IF(OR(D76="",E76="",F76=""),"",IF(F76&gt;(D76+E76)/2,"Premium",IF(F76&lt;(D76+E76)/2,"Discount","Equilibrium")))</x:f>
      </x:c>
      <x:c r="H76" s="132"/>
      <x:c r="I76" s="132"/>
      <x:c r="J76" s="132"/>
      <x:c r="K76" s="142"/>
      <x:c r="L76" s="142"/>
      <x:c r="M76" s="142"/>
      <x:c r="N76" s="145" t="str">
        <x:f>IF(OR(K76="",L76="",M76=""),"",ABS((M76-K76)/(K76-L76)))</x:f>
      </x:c>
      <x:c r="O76" s="114" t="str">
        <x:f>IF(OR(K76="",L76="",K76=L76),"",('参数设置'!$B$4*'参数设置'!$B$5)/(ABS(K76-L76)/K76))</x:f>
      </x:c>
      <x:c r="P76" s="132"/>
      <x:c r="Q76" s="132"/>
      <x:c r="R76" s="132"/>
      <x:c r="S76" s="136"/>
    </x:row>
    <x:row r="77">
      <x:c r="A77" s="139"/>
      <x:c r="B77" s="132"/>
      <x:c r="C77" s="132"/>
      <x:c r="D77" s="142"/>
      <x:c r="E77" s="142"/>
      <x:c r="F77" s="142"/>
      <x:c r="G77" s="108" t="str">
        <x:f>IF(OR(D77="",E77="",F77=""),"",IF(F77&gt;(D77+E77)/2,"Premium",IF(F77&lt;(D77+E77)/2,"Discount","Equilibrium")))</x:f>
      </x:c>
      <x:c r="H77" s="132"/>
      <x:c r="I77" s="132"/>
      <x:c r="J77" s="132"/>
      <x:c r="K77" s="142"/>
      <x:c r="L77" s="142"/>
      <x:c r="M77" s="142"/>
      <x:c r="N77" s="145" t="str">
        <x:f>IF(OR(K77="",L77="",M77=""),"",ABS((M77-K77)/(K77-L77)))</x:f>
      </x:c>
      <x:c r="O77" s="114" t="str">
        <x:f>IF(OR(K77="",L77="",K77=L77),"",('参数设置'!$B$4*'参数设置'!$B$5)/(ABS(K77-L77)/K77))</x:f>
      </x:c>
      <x:c r="P77" s="132"/>
      <x:c r="Q77" s="132"/>
      <x:c r="R77" s="132"/>
      <x:c r="S77" s="136"/>
    </x:row>
    <x:row r="78">
      <x:c r="A78" s="139"/>
      <x:c r="B78" s="132"/>
      <x:c r="C78" s="132"/>
      <x:c r="D78" s="142"/>
      <x:c r="E78" s="142"/>
      <x:c r="F78" s="142"/>
      <x:c r="G78" s="108" t="str">
        <x:f>IF(OR(D78="",E78="",F78=""),"",IF(F78&gt;(D78+E78)/2,"Premium",IF(F78&lt;(D78+E78)/2,"Discount","Equilibrium")))</x:f>
      </x:c>
      <x:c r="H78" s="132"/>
      <x:c r="I78" s="132"/>
      <x:c r="J78" s="132"/>
      <x:c r="K78" s="142"/>
      <x:c r="L78" s="142"/>
      <x:c r="M78" s="142"/>
      <x:c r="N78" s="145" t="str">
        <x:f>IF(OR(K78="",L78="",M78=""),"",ABS((M78-K78)/(K78-L78)))</x:f>
      </x:c>
      <x:c r="O78" s="114" t="str">
        <x:f>IF(OR(K78="",L78="",K78=L78),"",('参数设置'!$B$4*'参数设置'!$B$5)/(ABS(K78-L78)/K78))</x:f>
      </x:c>
      <x:c r="P78" s="132"/>
      <x:c r="Q78" s="132"/>
      <x:c r="R78" s="132"/>
      <x:c r="S78" s="136"/>
    </x:row>
    <x:row r="79">
      <x:c r="A79" s="139"/>
      <x:c r="B79" s="132"/>
      <x:c r="C79" s="132"/>
      <x:c r="D79" s="142"/>
      <x:c r="E79" s="142"/>
      <x:c r="F79" s="142"/>
      <x:c r="G79" s="108" t="str">
        <x:f>IF(OR(D79="",E79="",F79=""),"",IF(F79&gt;(D79+E79)/2,"Premium",IF(F79&lt;(D79+E79)/2,"Discount","Equilibrium")))</x:f>
      </x:c>
      <x:c r="H79" s="132"/>
      <x:c r="I79" s="132"/>
      <x:c r="J79" s="132"/>
      <x:c r="K79" s="142"/>
      <x:c r="L79" s="142"/>
      <x:c r="M79" s="142"/>
      <x:c r="N79" s="145" t="str">
        <x:f>IF(OR(K79="",L79="",M79=""),"",ABS((M79-K79)/(K79-L79)))</x:f>
      </x:c>
      <x:c r="O79" s="114" t="str">
        <x:f>IF(OR(K79="",L79="",K79=L79),"",('参数设置'!$B$4*'参数设置'!$B$5)/(ABS(K79-L79)/K79))</x:f>
      </x:c>
      <x:c r="P79" s="132"/>
      <x:c r="Q79" s="132"/>
      <x:c r="R79" s="132"/>
      <x:c r="S79" s="136"/>
    </x:row>
    <x:row r="80">
      <x:c r="A80" s="139"/>
      <x:c r="B80" s="132"/>
      <x:c r="C80" s="132"/>
      <x:c r="D80" s="142"/>
      <x:c r="E80" s="142"/>
      <x:c r="F80" s="142"/>
      <x:c r="G80" s="108" t="str">
        <x:f>IF(OR(D80="",E80="",F80=""),"",IF(F80&gt;(D80+E80)/2,"Premium",IF(F80&lt;(D80+E80)/2,"Discount","Equilibrium")))</x:f>
      </x:c>
      <x:c r="H80" s="132"/>
      <x:c r="I80" s="132"/>
      <x:c r="J80" s="132"/>
      <x:c r="K80" s="142"/>
      <x:c r="L80" s="142"/>
      <x:c r="M80" s="142"/>
      <x:c r="N80" s="145" t="str">
        <x:f>IF(OR(K80="",L80="",M80=""),"",ABS((M80-K80)/(K80-L80)))</x:f>
      </x:c>
      <x:c r="O80" s="114" t="str">
        <x:f>IF(OR(K80="",L80="",K80=L80),"",('参数设置'!$B$4*'参数设置'!$B$5)/(ABS(K80-L80)/K80))</x:f>
      </x:c>
      <x:c r="P80" s="132"/>
      <x:c r="Q80" s="132"/>
      <x:c r="R80" s="132"/>
      <x:c r="S80" s="136"/>
    </x:row>
    <x:row r="81">
      <x:c r="A81" s="139"/>
      <x:c r="B81" s="132"/>
      <x:c r="C81" s="132"/>
      <x:c r="D81" s="142"/>
      <x:c r="E81" s="142"/>
      <x:c r="F81" s="142"/>
      <x:c r="G81" s="108" t="str">
        <x:f>IF(OR(D81="",E81="",F81=""),"",IF(F81&gt;(D81+E81)/2,"Premium",IF(F81&lt;(D81+E81)/2,"Discount","Equilibrium")))</x:f>
      </x:c>
      <x:c r="H81" s="132"/>
      <x:c r="I81" s="132"/>
      <x:c r="J81" s="132"/>
      <x:c r="K81" s="142"/>
      <x:c r="L81" s="142"/>
      <x:c r="M81" s="142"/>
      <x:c r="N81" s="145" t="str">
        <x:f>IF(OR(K81="",L81="",M81=""),"",ABS((M81-K81)/(K81-L81)))</x:f>
      </x:c>
      <x:c r="O81" s="114" t="str">
        <x:f>IF(OR(K81="",L81="",K81=L81),"",('参数设置'!$B$4*'参数设置'!$B$5)/(ABS(K81-L81)/K81))</x:f>
      </x:c>
      <x:c r="P81" s="132"/>
      <x:c r="Q81" s="132"/>
      <x:c r="R81" s="132"/>
      <x:c r="S81" s="136"/>
    </x:row>
    <x:row r="82">
      <x:c r="A82" s="139"/>
      <x:c r="B82" s="132"/>
      <x:c r="C82" s="132"/>
      <x:c r="D82" s="142"/>
      <x:c r="E82" s="142"/>
      <x:c r="F82" s="142"/>
      <x:c r="G82" s="108" t="str">
        <x:f>IF(OR(D82="",E82="",F82=""),"",IF(F82&gt;(D82+E82)/2,"Premium",IF(F82&lt;(D82+E82)/2,"Discount","Equilibrium")))</x:f>
      </x:c>
      <x:c r="H82" s="132"/>
      <x:c r="I82" s="132"/>
      <x:c r="J82" s="132"/>
      <x:c r="K82" s="142"/>
      <x:c r="L82" s="142"/>
      <x:c r="M82" s="142"/>
      <x:c r="N82" s="145" t="str">
        <x:f>IF(OR(K82="",L82="",M82=""),"",ABS((M82-K82)/(K82-L82)))</x:f>
      </x:c>
      <x:c r="O82" s="114" t="str">
        <x:f>IF(OR(K82="",L82="",K82=L82),"",('参数设置'!$B$4*'参数设置'!$B$5)/(ABS(K82-L82)/K82))</x:f>
      </x:c>
      <x:c r="P82" s="132"/>
      <x:c r="Q82" s="132"/>
      <x:c r="R82" s="132"/>
      <x:c r="S82" s="136"/>
    </x:row>
    <x:row r="83">
      <x:c r="A83" s="139"/>
      <x:c r="B83" s="132"/>
      <x:c r="C83" s="132"/>
      <x:c r="D83" s="142"/>
      <x:c r="E83" s="142"/>
      <x:c r="F83" s="142"/>
      <x:c r="G83" s="108" t="str">
        <x:f>IF(OR(D83="",E83="",F83=""),"",IF(F83&gt;(D83+E83)/2,"Premium",IF(F83&lt;(D83+E83)/2,"Discount","Equilibrium")))</x:f>
      </x:c>
      <x:c r="H83" s="132"/>
      <x:c r="I83" s="132"/>
      <x:c r="J83" s="132"/>
      <x:c r="K83" s="142"/>
      <x:c r="L83" s="142"/>
      <x:c r="M83" s="142"/>
      <x:c r="N83" s="145" t="str">
        <x:f>IF(OR(K83="",L83="",M83=""),"",ABS((M83-K83)/(K83-L83)))</x:f>
      </x:c>
      <x:c r="O83" s="114" t="str">
        <x:f>IF(OR(K83="",L83="",K83=L83),"",('参数设置'!$B$4*'参数设置'!$B$5)/(ABS(K83-L83)/K83))</x:f>
      </x:c>
      <x:c r="P83" s="132"/>
      <x:c r="Q83" s="132"/>
      <x:c r="R83" s="132"/>
      <x:c r="S83" s="136"/>
    </x:row>
    <x:row r="84">
      <x:c r="A84" s="139"/>
      <x:c r="B84" s="132"/>
      <x:c r="C84" s="132"/>
      <x:c r="D84" s="142"/>
      <x:c r="E84" s="142"/>
      <x:c r="F84" s="142"/>
      <x:c r="G84" s="108" t="str">
        <x:f>IF(OR(D84="",E84="",F84=""),"",IF(F84&gt;(D84+E84)/2,"Premium",IF(F84&lt;(D84+E84)/2,"Discount","Equilibrium")))</x:f>
      </x:c>
      <x:c r="H84" s="132"/>
      <x:c r="I84" s="132"/>
      <x:c r="J84" s="132"/>
      <x:c r="K84" s="142"/>
      <x:c r="L84" s="142"/>
      <x:c r="M84" s="142"/>
      <x:c r="N84" s="145" t="str">
        <x:f>IF(OR(K84="",L84="",M84=""),"",ABS((M84-K84)/(K84-L84)))</x:f>
      </x:c>
      <x:c r="O84" s="114" t="str">
        <x:f>IF(OR(K84="",L84="",K84=L84),"",('参数设置'!$B$4*'参数设置'!$B$5)/(ABS(K84-L84)/K84))</x:f>
      </x:c>
      <x:c r="P84" s="132"/>
      <x:c r="Q84" s="132"/>
      <x:c r="R84" s="132"/>
      <x:c r="S84" s="136"/>
    </x:row>
    <x:row r="85">
      <x:c r="A85" s="139"/>
      <x:c r="B85" s="132"/>
      <x:c r="C85" s="132"/>
      <x:c r="D85" s="142"/>
      <x:c r="E85" s="142"/>
      <x:c r="F85" s="142"/>
      <x:c r="G85" s="108" t="str">
        <x:f>IF(OR(D85="",E85="",F85=""),"",IF(F85&gt;(D85+E85)/2,"Premium",IF(F85&lt;(D85+E85)/2,"Discount","Equilibrium")))</x:f>
      </x:c>
      <x:c r="H85" s="132"/>
      <x:c r="I85" s="132"/>
      <x:c r="J85" s="132"/>
      <x:c r="K85" s="142"/>
      <x:c r="L85" s="142"/>
      <x:c r="M85" s="142"/>
      <x:c r="N85" s="145" t="str">
        <x:f>IF(OR(K85="",L85="",M85=""),"",ABS((M85-K85)/(K85-L85)))</x:f>
      </x:c>
      <x:c r="O85" s="114" t="str">
        <x:f>IF(OR(K85="",L85="",K85=L85),"",('参数设置'!$B$4*'参数设置'!$B$5)/(ABS(K85-L85)/K85))</x:f>
      </x:c>
      <x:c r="P85" s="132"/>
      <x:c r="Q85" s="132"/>
      <x:c r="R85" s="132"/>
      <x:c r="S85" s="136"/>
    </x:row>
    <x:row r="86">
      <x:c r="A86" s="139"/>
      <x:c r="B86" s="132"/>
      <x:c r="C86" s="132"/>
      <x:c r="D86" s="142"/>
      <x:c r="E86" s="142"/>
      <x:c r="F86" s="142"/>
      <x:c r="G86" s="108" t="str">
        <x:f>IF(OR(D86="",E86="",F86=""),"",IF(F86&gt;(D86+E86)/2,"Premium",IF(F86&lt;(D86+E86)/2,"Discount","Equilibrium")))</x:f>
      </x:c>
      <x:c r="H86" s="132"/>
      <x:c r="I86" s="132"/>
      <x:c r="J86" s="132"/>
      <x:c r="K86" s="142"/>
      <x:c r="L86" s="142"/>
      <x:c r="M86" s="142"/>
      <x:c r="N86" s="145" t="str">
        <x:f>IF(OR(K86="",L86="",M86=""),"",ABS((M86-K86)/(K86-L86)))</x:f>
      </x:c>
      <x:c r="O86" s="114" t="str">
        <x:f>IF(OR(K86="",L86="",K86=L86),"",('参数设置'!$B$4*'参数设置'!$B$5)/(ABS(K86-L86)/K86))</x:f>
      </x:c>
      <x:c r="P86" s="132"/>
      <x:c r="Q86" s="132"/>
      <x:c r="R86" s="132"/>
      <x:c r="S86" s="136"/>
    </x:row>
    <x:row r="87">
      <x:c r="A87" s="139"/>
      <x:c r="B87" s="132"/>
      <x:c r="C87" s="132"/>
      <x:c r="D87" s="142"/>
      <x:c r="E87" s="142"/>
      <x:c r="F87" s="142"/>
      <x:c r="G87" s="108" t="str">
        <x:f>IF(OR(D87="",E87="",F87=""),"",IF(F87&gt;(D87+E87)/2,"Premium",IF(F87&lt;(D87+E87)/2,"Discount","Equilibrium")))</x:f>
      </x:c>
      <x:c r="H87" s="132"/>
      <x:c r="I87" s="132"/>
      <x:c r="J87" s="132"/>
      <x:c r="K87" s="142"/>
      <x:c r="L87" s="142"/>
      <x:c r="M87" s="142"/>
      <x:c r="N87" s="145" t="str">
        <x:f>IF(OR(K87="",L87="",M87=""),"",ABS((M87-K87)/(K87-L87)))</x:f>
      </x:c>
      <x:c r="O87" s="114" t="str">
        <x:f>IF(OR(K87="",L87="",K87=L87),"",('参数设置'!$B$4*'参数设置'!$B$5)/(ABS(K87-L87)/K87))</x:f>
      </x:c>
      <x:c r="P87" s="132"/>
      <x:c r="Q87" s="132"/>
      <x:c r="R87" s="132"/>
      <x:c r="S87" s="136"/>
    </x:row>
    <x:row r="88">
      <x:c r="A88" s="139"/>
      <x:c r="B88" s="132"/>
      <x:c r="C88" s="132"/>
      <x:c r="D88" s="142"/>
      <x:c r="E88" s="142"/>
      <x:c r="F88" s="142"/>
      <x:c r="G88" s="108" t="str">
        <x:f>IF(OR(D88="",E88="",F88=""),"",IF(F88&gt;(D88+E88)/2,"Premium",IF(F88&lt;(D88+E88)/2,"Discount","Equilibrium")))</x:f>
      </x:c>
      <x:c r="H88" s="132"/>
      <x:c r="I88" s="132"/>
      <x:c r="J88" s="132"/>
      <x:c r="K88" s="142"/>
      <x:c r="L88" s="142"/>
      <x:c r="M88" s="142"/>
      <x:c r="N88" s="145" t="str">
        <x:f>IF(OR(K88="",L88="",M88=""),"",ABS((M88-K88)/(K88-L88)))</x:f>
      </x:c>
      <x:c r="O88" s="114" t="str">
        <x:f>IF(OR(K88="",L88="",K88=L88),"",('参数设置'!$B$4*'参数设置'!$B$5)/(ABS(K88-L88)/K88))</x:f>
      </x:c>
      <x:c r="P88" s="132"/>
      <x:c r="Q88" s="132"/>
      <x:c r="R88" s="132"/>
      <x:c r="S88" s="136"/>
    </x:row>
    <x:row r="89">
      <x:c r="A89" s="139"/>
      <x:c r="B89" s="132"/>
      <x:c r="C89" s="132"/>
      <x:c r="D89" s="142"/>
      <x:c r="E89" s="142"/>
      <x:c r="F89" s="142"/>
      <x:c r="G89" s="108" t="str">
        <x:f>IF(OR(D89="",E89="",F89=""),"",IF(F89&gt;(D89+E89)/2,"Premium",IF(F89&lt;(D89+E89)/2,"Discount","Equilibrium")))</x:f>
      </x:c>
      <x:c r="H89" s="132"/>
      <x:c r="I89" s="132"/>
      <x:c r="J89" s="132"/>
      <x:c r="K89" s="142"/>
      <x:c r="L89" s="142"/>
      <x:c r="M89" s="142"/>
      <x:c r="N89" s="145" t="str">
        <x:f>IF(OR(K89="",L89="",M89=""),"",ABS((M89-K89)/(K89-L89)))</x:f>
      </x:c>
      <x:c r="O89" s="114" t="str">
        <x:f>IF(OR(K89="",L89="",K89=L89),"",('参数设置'!$B$4*'参数设置'!$B$5)/(ABS(K89-L89)/K89))</x:f>
      </x:c>
      <x:c r="P89" s="132"/>
      <x:c r="Q89" s="132"/>
      <x:c r="R89" s="132"/>
      <x:c r="S89" s="136"/>
    </x:row>
    <x:row r="90">
      <x:c r="A90" s="139"/>
      <x:c r="B90" s="132"/>
      <x:c r="C90" s="132"/>
      <x:c r="D90" s="142"/>
      <x:c r="E90" s="142"/>
      <x:c r="F90" s="142"/>
      <x:c r="G90" s="108" t="str">
        <x:f>IF(OR(D90="",E90="",F90=""),"",IF(F90&gt;(D90+E90)/2,"Premium",IF(F90&lt;(D90+E90)/2,"Discount","Equilibrium")))</x:f>
      </x:c>
      <x:c r="H90" s="132"/>
      <x:c r="I90" s="132"/>
      <x:c r="J90" s="132"/>
      <x:c r="K90" s="142"/>
      <x:c r="L90" s="142"/>
      <x:c r="M90" s="142"/>
      <x:c r="N90" s="145" t="str">
        <x:f>IF(OR(K90="",L90="",M90=""),"",ABS((M90-K90)/(K90-L90)))</x:f>
      </x:c>
      <x:c r="O90" s="114" t="str">
        <x:f>IF(OR(K90="",L90="",K90=L90),"",('参数设置'!$B$4*'参数设置'!$B$5)/(ABS(K90-L90)/K90))</x:f>
      </x:c>
      <x:c r="P90" s="132"/>
      <x:c r="Q90" s="132"/>
      <x:c r="R90" s="132"/>
      <x:c r="S90" s="136"/>
    </x:row>
    <x:row r="91">
      <x:c r="A91" s="139"/>
      <x:c r="B91" s="132"/>
      <x:c r="C91" s="132"/>
      <x:c r="D91" s="142"/>
      <x:c r="E91" s="142"/>
      <x:c r="F91" s="142"/>
      <x:c r="G91" s="108" t="str">
        <x:f>IF(OR(D91="",E91="",F91=""),"",IF(F91&gt;(D91+E91)/2,"Premium",IF(F91&lt;(D91+E91)/2,"Discount","Equilibrium")))</x:f>
      </x:c>
      <x:c r="H91" s="132"/>
      <x:c r="I91" s="132"/>
      <x:c r="J91" s="132"/>
      <x:c r="K91" s="142"/>
      <x:c r="L91" s="142"/>
      <x:c r="M91" s="142"/>
      <x:c r="N91" s="145" t="str">
        <x:f>IF(OR(K91="",L91="",M91=""),"",ABS((M91-K91)/(K91-L91)))</x:f>
      </x:c>
      <x:c r="O91" s="114" t="str">
        <x:f>IF(OR(K91="",L91="",K91=L91),"",('参数设置'!$B$4*'参数设置'!$B$5)/(ABS(K91-L91)/K91))</x:f>
      </x:c>
      <x:c r="P91" s="132"/>
      <x:c r="Q91" s="132"/>
      <x:c r="R91" s="132"/>
      <x:c r="S91" s="136"/>
    </x:row>
    <x:row r="92">
      <x:c r="A92" s="139"/>
      <x:c r="B92" s="132"/>
      <x:c r="C92" s="132"/>
      <x:c r="D92" s="142"/>
      <x:c r="E92" s="142"/>
      <x:c r="F92" s="142"/>
      <x:c r="G92" s="108" t="str">
        <x:f>IF(OR(D92="",E92="",F92=""),"",IF(F92&gt;(D92+E92)/2,"Premium",IF(F92&lt;(D92+E92)/2,"Discount","Equilibrium")))</x:f>
      </x:c>
      <x:c r="H92" s="132"/>
      <x:c r="I92" s="132"/>
      <x:c r="J92" s="132"/>
      <x:c r="K92" s="142"/>
      <x:c r="L92" s="142"/>
      <x:c r="M92" s="142"/>
      <x:c r="N92" s="145" t="str">
        <x:f>IF(OR(K92="",L92="",M92=""),"",ABS((M92-K92)/(K92-L92)))</x:f>
      </x:c>
      <x:c r="O92" s="114" t="str">
        <x:f>IF(OR(K92="",L92="",K92=L92),"",('参数设置'!$B$4*'参数设置'!$B$5)/(ABS(K92-L92)/K92))</x:f>
      </x:c>
      <x:c r="P92" s="132"/>
      <x:c r="Q92" s="132"/>
      <x:c r="R92" s="132"/>
      <x:c r="S92" s="136"/>
    </x:row>
    <x:row r="93">
      <x:c r="A93" s="139"/>
      <x:c r="B93" s="132"/>
      <x:c r="C93" s="132"/>
      <x:c r="D93" s="142"/>
      <x:c r="E93" s="142"/>
      <x:c r="F93" s="142"/>
      <x:c r="G93" s="108" t="str">
        <x:f>IF(OR(D93="",E93="",F93=""),"",IF(F93&gt;(D93+E93)/2,"Premium",IF(F93&lt;(D93+E93)/2,"Discount","Equilibrium")))</x:f>
      </x:c>
      <x:c r="H93" s="132"/>
      <x:c r="I93" s="132"/>
      <x:c r="J93" s="132"/>
      <x:c r="K93" s="142"/>
      <x:c r="L93" s="142"/>
      <x:c r="M93" s="142"/>
      <x:c r="N93" s="145" t="str">
        <x:f>IF(OR(K93="",L93="",M93=""),"",ABS((M93-K93)/(K93-L93)))</x:f>
      </x:c>
      <x:c r="O93" s="114" t="str">
        <x:f>IF(OR(K93="",L93="",K93=L93),"",('参数设置'!$B$4*'参数设置'!$B$5)/(ABS(K93-L93)/K93))</x:f>
      </x:c>
      <x:c r="P93" s="132"/>
      <x:c r="Q93" s="132"/>
      <x:c r="R93" s="132"/>
      <x:c r="S93" s="136"/>
    </x:row>
    <x:row r="94">
      <x:c r="A94" s="139"/>
      <x:c r="B94" s="132"/>
      <x:c r="C94" s="132"/>
      <x:c r="D94" s="142"/>
      <x:c r="E94" s="142"/>
      <x:c r="F94" s="142"/>
      <x:c r="G94" s="108" t="str">
        <x:f>IF(OR(D94="",E94="",F94=""),"",IF(F94&gt;(D94+E94)/2,"Premium",IF(F94&lt;(D94+E94)/2,"Discount","Equilibrium")))</x:f>
      </x:c>
      <x:c r="H94" s="132"/>
      <x:c r="I94" s="132"/>
      <x:c r="J94" s="132"/>
      <x:c r="K94" s="142"/>
      <x:c r="L94" s="142"/>
      <x:c r="M94" s="142"/>
      <x:c r="N94" s="145" t="str">
        <x:f>IF(OR(K94="",L94="",M94=""),"",ABS((M94-K94)/(K94-L94)))</x:f>
      </x:c>
      <x:c r="O94" s="114" t="str">
        <x:f>IF(OR(K94="",L94="",K94=L94),"",('参数设置'!$B$4*'参数设置'!$B$5)/(ABS(K94-L94)/K94))</x:f>
      </x:c>
      <x:c r="P94" s="132"/>
      <x:c r="Q94" s="132"/>
      <x:c r="R94" s="132"/>
      <x:c r="S94" s="136"/>
    </x:row>
    <x:row r="95">
      <x:c r="A95" s="139"/>
      <x:c r="B95" s="132"/>
      <x:c r="C95" s="132"/>
      <x:c r="D95" s="142"/>
      <x:c r="E95" s="142"/>
      <x:c r="F95" s="142"/>
      <x:c r="G95" s="108" t="str">
        <x:f>IF(OR(D95="",E95="",F95=""),"",IF(F95&gt;(D95+E95)/2,"Premium",IF(F95&lt;(D95+E95)/2,"Discount","Equilibrium")))</x:f>
      </x:c>
      <x:c r="H95" s="132"/>
      <x:c r="I95" s="132"/>
      <x:c r="J95" s="132"/>
      <x:c r="K95" s="142"/>
      <x:c r="L95" s="142"/>
      <x:c r="M95" s="142"/>
      <x:c r="N95" s="145" t="str">
        <x:f>IF(OR(K95="",L95="",M95=""),"",ABS((M95-K95)/(K95-L95)))</x:f>
      </x:c>
      <x:c r="O95" s="114" t="str">
        <x:f>IF(OR(K95="",L95="",K95=L95),"",('参数设置'!$B$4*'参数设置'!$B$5)/(ABS(K95-L95)/K95))</x:f>
      </x:c>
      <x:c r="P95" s="132"/>
      <x:c r="Q95" s="132"/>
      <x:c r="R95" s="132"/>
      <x:c r="S95" s="136"/>
    </x:row>
    <x:row r="96">
      <x:c r="A96" s="139"/>
      <x:c r="B96" s="132"/>
      <x:c r="C96" s="132"/>
      <x:c r="D96" s="142"/>
      <x:c r="E96" s="142"/>
      <x:c r="F96" s="142"/>
      <x:c r="G96" s="108" t="str">
        <x:f>IF(OR(D96="",E96="",F96=""),"",IF(F96&gt;(D96+E96)/2,"Premium",IF(F96&lt;(D96+E96)/2,"Discount","Equilibrium")))</x:f>
      </x:c>
      <x:c r="H96" s="132"/>
      <x:c r="I96" s="132"/>
      <x:c r="J96" s="132"/>
      <x:c r="K96" s="142"/>
      <x:c r="L96" s="142"/>
      <x:c r="M96" s="142"/>
      <x:c r="N96" s="145" t="str">
        <x:f>IF(OR(K96="",L96="",M96=""),"",ABS((M96-K96)/(K96-L96)))</x:f>
      </x:c>
      <x:c r="O96" s="114" t="str">
        <x:f>IF(OR(K96="",L96="",K96=L96),"",('参数设置'!$B$4*'参数设置'!$B$5)/(ABS(K96-L96)/K96))</x:f>
      </x:c>
      <x:c r="P96" s="132"/>
      <x:c r="Q96" s="132"/>
      <x:c r="R96" s="132"/>
      <x:c r="S96" s="136"/>
    </x:row>
    <x:row r="97">
      <x:c r="A97" s="139"/>
      <x:c r="B97" s="132"/>
      <x:c r="C97" s="132"/>
      <x:c r="D97" s="142"/>
      <x:c r="E97" s="142"/>
      <x:c r="F97" s="142"/>
      <x:c r="G97" s="108" t="str">
        <x:f>IF(OR(D97="",E97="",F97=""),"",IF(F97&gt;(D97+E97)/2,"Premium",IF(F97&lt;(D97+E97)/2,"Discount","Equilibrium")))</x:f>
      </x:c>
      <x:c r="H97" s="132"/>
      <x:c r="I97" s="132"/>
      <x:c r="J97" s="132"/>
      <x:c r="K97" s="142"/>
      <x:c r="L97" s="142"/>
      <x:c r="M97" s="142"/>
      <x:c r="N97" s="145" t="str">
        <x:f>IF(OR(K97="",L97="",M97=""),"",ABS((M97-K97)/(K97-L97)))</x:f>
      </x:c>
      <x:c r="O97" s="114" t="str">
        <x:f>IF(OR(K97="",L97="",K97=L97),"",('参数设置'!$B$4*'参数设置'!$B$5)/(ABS(K97-L97)/K97))</x:f>
      </x:c>
      <x:c r="P97" s="132"/>
      <x:c r="Q97" s="132"/>
      <x:c r="R97" s="132"/>
      <x:c r="S97" s="136"/>
    </x:row>
    <x:row r="98">
      <x:c r="A98" s="139"/>
      <x:c r="B98" s="132"/>
      <x:c r="C98" s="132"/>
      <x:c r="D98" s="142"/>
      <x:c r="E98" s="142"/>
      <x:c r="F98" s="142"/>
      <x:c r="G98" s="108" t="str">
        <x:f>IF(OR(D98="",E98="",F98=""),"",IF(F98&gt;(D98+E98)/2,"Premium",IF(F98&lt;(D98+E98)/2,"Discount","Equilibrium")))</x:f>
      </x:c>
      <x:c r="H98" s="132"/>
      <x:c r="I98" s="132"/>
      <x:c r="J98" s="132"/>
      <x:c r="K98" s="142"/>
      <x:c r="L98" s="142"/>
      <x:c r="M98" s="142"/>
      <x:c r="N98" s="145" t="str">
        <x:f>IF(OR(K98="",L98="",M98=""),"",ABS((M98-K98)/(K98-L98)))</x:f>
      </x:c>
      <x:c r="O98" s="114" t="str">
        <x:f>IF(OR(K98="",L98="",K98=L98),"",('参数设置'!$B$4*'参数设置'!$B$5)/(ABS(K98-L98)/K98))</x:f>
      </x:c>
      <x:c r="P98" s="132"/>
      <x:c r="Q98" s="132"/>
      <x:c r="R98" s="132"/>
      <x:c r="S98" s="136"/>
    </x:row>
    <x:row r="99">
      <x:c r="A99" s="139"/>
      <x:c r="B99" s="132"/>
      <x:c r="C99" s="132"/>
      <x:c r="D99" s="142"/>
      <x:c r="E99" s="142"/>
      <x:c r="F99" s="142"/>
      <x:c r="G99" s="108" t="str">
        <x:f>IF(OR(D99="",E99="",F99=""),"",IF(F99&gt;(D99+E99)/2,"Premium",IF(F99&lt;(D99+E99)/2,"Discount","Equilibrium")))</x:f>
      </x:c>
      <x:c r="H99" s="132"/>
      <x:c r="I99" s="132"/>
      <x:c r="J99" s="132"/>
      <x:c r="K99" s="142"/>
      <x:c r="L99" s="142"/>
      <x:c r="M99" s="142"/>
      <x:c r="N99" s="145" t="str">
        <x:f>IF(OR(K99="",L99="",M99=""),"",ABS((M99-K99)/(K99-L99)))</x:f>
      </x:c>
      <x:c r="O99" s="114" t="str">
        <x:f>IF(OR(K99="",L99="",K99=L99),"",('参数设置'!$B$4*'参数设置'!$B$5)/(ABS(K99-L99)/K99))</x:f>
      </x:c>
      <x:c r="P99" s="132"/>
      <x:c r="Q99" s="132"/>
      <x:c r="R99" s="132"/>
      <x:c r="S99" s="136"/>
    </x:row>
    <x:row r="100">
      <x:c r="A100" s="139"/>
      <x:c r="B100" s="132"/>
      <x:c r="C100" s="132"/>
      <x:c r="D100" s="142"/>
      <x:c r="E100" s="142"/>
      <x:c r="F100" s="142"/>
      <x:c r="G100" s="108" t="str">
        <x:f>IF(OR(D100="",E100="",F100=""),"",IF(F100&gt;(D100+E100)/2,"Premium",IF(F100&lt;(D100+E100)/2,"Discount","Equilibrium")))</x:f>
      </x:c>
      <x:c r="H100" s="132"/>
      <x:c r="I100" s="132"/>
      <x:c r="J100" s="132"/>
      <x:c r="K100" s="142"/>
      <x:c r="L100" s="142"/>
      <x:c r="M100" s="142"/>
      <x:c r="N100" s="145" t="str">
        <x:f>IF(OR(K100="",L100="",M100=""),"",ABS((M100-K100)/(K100-L100)))</x:f>
      </x:c>
      <x:c r="O100" s="114" t="str">
        <x:f>IF(OR(K100="",L100="",K100=L100),"",('参数设置'!$B$4*'参数设置'!$B$5)/(ABS(K100-L100)/K100))</x:f>
      </x:c>
      <x:c r="P100" s="132"/>
      <x:c r="Q100" s="132"/>
      <x:c r="R100" s="132"/>
      <x:c r="S100" s="136"/>
    </x:row>
    <x:row r="101">
      <x:c r="A101" s="139"/>
      <x:c r="B101" s="132"/>
      <x:c r="C101" s="132"/>
      <x:c r="D101" s="142"/>
      <x:c r="E101" s="142"/>
      <x:c r="F101" s="142"/>
      <x:c r="G101" s="108" t="str">
        <x:f>IF(OR(D101="",E101="",F101=""),"",IF(F101&gt;(D101+E101)/2,"Premium",IF(F101&lt;(D101+E101)/2,"Discount","Equilibrium")))</x:f>
      </x:c>
      <x:c r="H101" s="132"/>
      <x:c r="I101" s="132"/>
      <x:c r="J101" s="132"/>
      <x:c r="K101" s="142"/>
      <x:c r="L101" s="142"/>
      <x:c r="M101" s="142"/>
      <x:c r="N101" s="145" t="str">
        <x:f>IF(OR(K101="",L101="",M101=""),"",ABS((M101-K101)/(K101-L101)))</x:f>
      </x:c>
      <x:c r="O101" s="114" t="str">
        <x:f>IF(OR(K101="",L101="",K101=L101),"",('参数设置'!$B$4*'参数设置'!$B$5)/(ABS(K101-L101)/K101))</x:f>
      </x:c>
      <x:c r="P101" s="132"/>
      <x:c r="Q101" s="132"/>
      <x:c r="R101" s="132"/>
      <x:c r="S101" s="136"/>
    </x:row>
    <x:row r="102">
      <x:c r="A102" s="139"/>
      <x:c r="B102" s="132"/>
      <x:c r="C102" s="132"/>
      <x:c r="D102" s="142"/>
      <x:c r="E102" s="142"/>
      <x:c r="F102" s="142"/>
      <x:c r="G102" s="108" t="str">
        <x:f>IF(OR(D102="",E102="",F102=""),"",IF(F102&gt;(D102+E102)/2,"Premium",IF(F102&lt;(D102+E102)/2,"Discount","Equilibrium")))</x:f>
      </x:c>
      <x:c r="H102" s="132"/>
      <x:c r="I102" s="132"/>
      <x:c r="J102" s="132"/>
      <x:c r="K102" s="142"/>
      <x:c r="L102" s="142"/>
      <x:c r="M102" s="142"/>
      <x:c r="N102" s="145" t="str">
        <x:f>IF(OR(K102="",L102="",M102=""),"",ABS((M102-K102)/(K102-L102)))</x:f>
      </x:c>
      <x:c r="O102" s="114" t="str">
        <x:f>IF(OR(K102="",L102="",K102=L102),"",('参数设置'!$B$4*'参数设置'!$B$5)/(ABS(K102-L102)/K102))</x:f>
      </x:c>
      <x:c r="P102" s="132"/>
      <x:c r="Q102" s="132"/>
      <x:c r="R102" s="132"/>
      <x:c r="S102" s="136"/>
    </x:row>
    <x:row r="103">
      <x:c r="A103" s="140"/>
      <x:c r="B103" s="134"/>
      <x:c r="C103" s="134"/>
      <x:c r="D103" s="143"/>
      <x:c r="E103" s="143"/>
      <x:c r="F103" s="143"/>
      <x:c r="G103" s="111" t="str">
        <x:f>IF(OR(D103="",E103="",F103=""),"",IF(F103&gt;(D103+E103)/2,"Premium",IF(F103&lt;(D103+E103)/2,"Discount","Equilibrium")))</x:f>
      </x:c>
      <x:c r="H103" s="134"/>
      <x:c r="I103" s="134"/>
      <x:c r="J103" s="134"/>
      <x:c r="K103" s="143"/>
      <x:c r="L103" s="143"/>
      <x:c r="M103" s="143"/>
      <x:c r="N103" s="146" t="str">
        <x:f>IF(OR(K103="",L103="",M103=""),"",ABS((M103-K103)/(K103-L103)))</x:f>
      </x:c>
      <x:c r="O103" s="147" t="str">
        <x:f>IF(OR(K103="",L103="",K103=L103),"",('参数设置'!$B$4*'参数设置'!$B$5)/(ABS(K103-L103)/K103))</x:f>
      </x:c>
      <x:c r="P103" s="134"/>
      <x:c r="Q103" s="134"/>
      <x:c r="R103" s="134"/>
      <x:c r="S103" s="137"/>
    </x:row>
  </x:sheetData>
  <x:mergeCells>
    <x:mergeCell ref="A1:S1"/>
    <x:mergeCell ref="A2:S2"/>
  </x:mergeCells>
  <x:dataValidations count="3">
    <x:dataValidation type="list" sqref="B4:B103">
      <x:formula1>"BTCUSDT,ETHUSDT"</x:formula1>
    </x:dataValidation>
    <x:dataValidation type="list" sqref="H4:H103">
      <x:formula1>"多头,空头,中性"</x:formula1>
    </x:dataValidation>
    <x:dataValidation type="list" sqref="S4:S103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9c49098a694c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0" hidden="0" customWidth="1"/>
    <x:col min="6" max="6" width="12" hidden="0" customWidth="1"/>
    <x:col min="7" max="7" width="12" hidden="0" customWidth="1"/>
    <x:col min="8" max="8" width="13" hidden="0" customWidth="1"/>
    <x:col min="9" max="9" width="13" hidden="0" customWidth="1"/>
    <x:col min="10" max="10" width="12" hidden="0" customWidth="1"/>
    <x:col min="11" max="11" width="20" hidden="0" customWidth="1"/>
    <x:col min="12" max="12" width="12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4" hidden="0" customWidth="1"/>
    <x:col min="18" max="18" width="13" hidden="0" customWidth="1"/>
    <x:col min="19" max="19" width="15" hidden="0" customWidth="1"/>
    <x:col min="20" max="20" width="12" hidden="0" customWidth="1"/>
    <x:col min="21" max="21" width="15" hidden="0" customWidth="1"/>
    <x:col min="22" max="22" width="15" hidden="0" customWidth="1"/>
    <x:col min="23" max="23" width="12" hidden="0" customWidth="1"/>
    <x:col min="24" max="24" width="10" hidden="0" customWidth="1"/>
    <x:col min="25" max="25" width="14" hidden="0" customWidth="1"/>
    <x:col min="26" max="26" width="20" hidden="0" customWidth="1"/>
    <x:col min="27" max="27" width="24" hidden="0" customWidth="1"/>
    <x:col min="28" max="28" width="34" hidden="0" customWidth="1"/>
    <x:col min="29" max="29" width="34" hidden="0" customWidth="1"/>
    <x:col min="30" max="30" width="15" hidden="0" customWidth="1"/>
    <x:col min="31" max="31" width="15" hidden="0" customWidth="1"/>
    <x:col min="32" max="32" width="15" hidden="0" customWidth="1"/>
  </x:cols>
  <x:sheetData>
    <x:row r="1" ht="34" customHeight="1">
      <x:c r="A1" s="4" t="str">
        <x:v>BTC SMC 交易日志</x:v>
      </x:c>
      <x:c r="B1" s="4" t="str">
        <x:v>BTC SMC 交易日志</x:v>
      </x:c>
      <x:c r="C1" s="4" t="str">
        <x:v>BTC SMC 交易日志</x:v>
      </x:c>
      <x:c r="D1" s="4" t="str">
        <x:v>BTC SMC 交易日志</x:v>
      </x:c>
      <x:c r="E1" s="4" t="str">
        <x:v>BTC SMC 交易日志</x:v>
      </x:c>
      <x:c r="F1" s="4" t="str">
        <x:v>BTC SMC 交易日志</x:v>
      </x:c>
      <x:c r="G1" s="4" t="str">
        <x:v>BTC SMC 交易日志</x:v>
      </x:c>
      <x:c r="H1" s="4" t="str">
        <x:v>BTC SMC 交易日志</x:v>
      </x:c>
      <x:c r="I1" s="4" t="str">
        <x:v>BTC SMC 交易日志</x:v>
      </x:c>
      <x:c r="J1" s="4" t="str">
        <x:v>BTC SMC 交易日志</x:v>
      </x:c>
      <x:c r="K1" s="4" t="str">
        <x:v>BTC SMC 交易日志</x:v>
      </x:c>
      <x:c r="L1" s="4" t="str">
        <x:v>BTC SMC 交易日志</x:v>
      </x:c>
      <x:c r="M1" s="4" t="str">
        <x:v>BTC SMC 交易日志</x:v>
      </x:c>
      <x:c r="N1" s="4" t="str">
        <x:v>BTC SMC 交易日志</x:v>
      </x:c>
      <x:c r="O1" s="4" t="str">
        <x:v>BTC SMC 交易日志</x:v>
      </x:c>
      <x:c r="P1" s="4" t="str">
        <x:v>BTC SMC 交易日志</x:v>
      </x:c>
      <x:c r="Q1" s="4" t="str">
        <x:v>BTC SMC 交易日志</x:v>
      </x:c>
      <x:c r="R1" s="4" t="str">
        <x:v>BTC SMC 交易日志</x:v>
      </x:c>
      <x:c r="S1" s="4" t="str">
        <x:v>BTC SMC 交易日志</x:v>
      </x:c>
      <x:c r="T1" s="4" t="str">
        <x:v>BTC SMC 交易日志</x:v>
      </x:c>
      <x:c r="U1" s="4" t="str">
        <x:v>BTC SMC 交易日志</x:v>
      </x:c>
      <x:c r="V1" s="4" t="str">
        <x:v>BTC SMC 交易日志</x:v>
      </x:c>
      <x:c r="W1" s="4" t="str">
        <x:v>BTC SMC 交易日志</x:v>
      </x:c>
      <x:c r="X1" s="4" t="str">
        <x:v>BTC SMC 交易日志</x:v>
      </x:c>
      <x:c r="Y1" s="4" t="str">
        <x:v>BTC SMC 交易日志</x:v>
      </x:c>
      <x:c r="Z1" s="4" t="str">
        <x:v>BTC SMC 交易日志</x:v>
      </x:c>
      <x:c r="AA1" s="4" t="str">
        <x:v>BTC SMC 交易日志</x:v>
      </x:c>
      <x:c r="AB1" s="4" t="str">
        <x:v>BTC SMC 交易日志</x:v>
      </x:c>
      <x:c r="AC1" s="4" t="str">
        <x:v>BTC SMC 交易日志</x:v>
      </x:c>
      <x:c r="AD1" s="4" t="str">
        <x:v>BTC SMC 交易日志</x:v>
      </x:c>
      <x:c r="AE1" s="4" t="str">
        <x:v>BTC SMC 交易日志</x:v>
      </x:c>
      <x:c r="AF1" s="4" t="str">
        <x:v>BTC SMC 交易日志</x:v>
      </x:c>
    </x:row>
    <x:row r="2">
      <x:c r="A2" s="123" t="str">
        <x:v>输入列为黄色，计算列为绿色。最终盈亏优先读取“手动盈亏”；留空时按方向、开平仓价、仓位和手续费自动计算。</x:v>
      </x:c>
      <x:c r="B2" s="123" t="str">
        <x:v>输入列为黄色，计算列为绿色。最终盈亏优先读取“手动盈亏”；留空时按方向、开平仓价、仓位和手续费自动计算。</x:v>
      </x:c>
      <x:c r="C2" s="123" t="str">
        <x:v>输入列为黄色，计算列为绿色。最终盈亏优先读取“手动盈亏”；留空时按方向、开平仓价、仓位和手续费自动计算。</x:v>
      </x:c>
      <x:c r="D2" s="123" t="str">
        <x:v>输入列为黄色，计算列为绿色。最终盈亏优先读取“手动盈亏”；留空时按方向、开平仓价、仓位和手续费自动计算。</x:v>
      </x:c>
      <x:c r="E2" s="123" t="str">
        <x:v>输入列为黄色，计算列为绿色。最终盈亏优先读取“手动盈亏”；留空时按方向、开平仓价、仓位和手续费自动计算。</x:v>
      </x:c>
      <x:c r="F2" s="123" t="str">
        <x:v>输入列为黄色，计算列为绿色。最终盈亏优先读取“手动盈亏”；留空时按方向、开平仓价、仓位和手续费自动计算。</x:v>
      </x:c>
      <x:c r="G2" s="123" t="str">
        <x:v>输入列为黄色，计算列为绿色。最终盈亏优先读取“手动盈亏”；留空时按方向、开平仓价、仓位和手续费自动计算。</x:v>
      </x:c>
      <x:c r="H2" s="123" t="str">
        <x:v>输入列为黄色，计算列为绿色。最终盈亏优先读取“手动盈亏”；留空时按方向、开平仓价、仓位和手续费自动计算。</x:v>
      </x:c>
      <x:c r="I2" s="123" t="str">
        <x:v>输入列为黄色，计算列为绿色。最终盈亏优先读取“手动盈亏”；留空时按方向、开平仓价、仓位和手续费自动计算。</x:v>
      </x:c>
      <x:c r="J2" s="123" t="str">
        <x:v>输入列为黄色，计算列为绿色。最终盈亏优先读取“手动盈亏”；留空时按方向、开平仓价、仓位和手续费自动计算。</x:v>
      </x:c>
      <x:c r="K2" s="123" t="str">
        <x:v>输入列为黄色，计算列为绿色。最终盈亏优先读取“手动盈亏”；留空时按方向、开平仓价、仓位和手续费自动计算。</x:v>
      </x:c>
      <x:c r="L2" s="123" t="str">
        <x:v>输入列为黄色，计算列为绿色。最终盈亏优先读取“手动盈亏”；留空时按方向、开平仓价、仓位和手续费自动计算。</x:v>
      </x:c>
      <x:c r="M2" s="123" t="str">
        <x:v>输入列为黄色，计算列为绿色。最终盈亏优先读取“手动盈亏”；留空时按方向、开平仓价、仓位和手续费自动计算。</x:v>
      </x:c>
      <x:c r="N2" s="123" t="str">
        <x:v>输入列为黄色，计算列为绿色。最终盈亏优先读取“手动盈亏”；留空时按方向、开平仓价、仓位和手续费自动计算。</x:v>
      </x:c>
      <x:c r="O2" s="123" t="str">
        <x:v>输入列为黄色，计算列为绿色。最终盈亏优先读取“手动盈亏”；留空时按方向、开平仓价、仓位和手续费自动计算。</x:v>
      </x:c>
      <x:c r="P2" s="123" t="str">
        <x:v>输入列为黄色，计算列为绿色。最终盈亏优先读取“手动盈亏”；留空时按方向、开平仓价、仓位和手续费自动计算。</x:v>
      </x:c>
      <x:c r="Q2" s="123" t="str">
        <x:v>输入列为黄色，计算列为绿色。最终盈亏优先读取“手动盈亏”；留空时按方向、开平仓价、仓位和手续费自动计算。</x:v>
      </x:c>
      <x:c r="R2" s="123" t="str">
        <x:v>输入列为黄色，计算列为绿色。最终盈亏优先读取“手动盈亏”；留空时按方向、开平仓价、仓位和手续费自动计算。</x:v>
      </x:c>
      <x:c r="S2" s="123" t="str">
        <x:v>输入列为黄色，计算列为绿色。最终盈亏优先读取“手动盈亏”；留空时按方向、开平仓价、仓位和手续费自动计算。</x:v>
      </x:c>
      <x:c r="T2" s="123" t="str">
        <x:v>输入列为黄色，计算列为绿色。最终盈亏优先读取“手动盈亏”；留空时按方向、开平仓价、仓位和手续费自动计算。</x:v>
      </x:c>
      <x:c r="U2" s="123" t="str">
        <x:v>输入列为黄色，计算列为绿色。最终盈亏优先读取“手动盈亏”；留空时按方向、开平仓价、仓位和手续费自动计算。</x:v>
      </x:c>
      <x:c r="V2" s="123" t="str">
        <x:v>输入列为黄色，计算列为绿色。最终盈亏优先读取“手动盈亏”；留空时按方向、开平仓价、仓位和手续费自动计算。</x:v>
      </x:c>
      <x:c r="W2" s="123" t="str">
        <x:v>输入列为黄色，计算列为绿色。最终盈亏优先读取“手动盈亏”；留空时按方向、开平仓价、仓位和手续费自动计算。</x:v>
      </x:c>
      <x:c r="X2" s="123" t="str">
        <x:v>输入列为黄色，计算列为绿色。最终盈亏优先读取“手动盈亏”；留空时按方向、开平仓价、仓位和手续费自动计算。</x:v>
      </x:c>
      <x:c r="Y2" s="123" t="str">
        <x:v>输入列为黄色，计算列为绿色。最终盈亏优先读取“手动盈亏”；留空时按方向、开平仓价、仓位和手续费自动计算。</x:v>
      </x:c>
      <x:c r="Z2" s="123" t="str">
        <x:v>输入列为黄色，计算列为绿色。最终盈亏优先读取“手动盈亏”；留空时按方向、开平仓价、仓位和手续费自动计算。</x:v>
      </x:c>
      <x:c r="AA2" s="123" t="str">
        <x:v>输入列为黄色，计算列为绿色。最终盈亏优先读取“手动盈亏”；留空时按方向、开平仓价、仓位和手续费自动计算。</x:v>
      </x:c>
      <x:c r="AB2" s="123" t="str">
        <x:v>输入列为黄色，计算列为绿色。最终盈亏优先读取“手动盈亏”；留空时按方向、开平仓价、仓位和手续费自动计算。</x:v>
      </x:c>
      <x:c r="AC2" s="123" t="str">
        <x:v>输入列为黄色，计算列为绿色。最终盈亏优先读取“手动盈亏”；留空时按方向、开平仓价、仓位和手续费自动计算。</x:v>
      </x:c>
      <x:c r="AD2" s="123" t="str">
        <x:v>输入列为黄色，计算列为绿色。最终盈亏优先读取“手动盈亏”；留空时按方向、开平仓价、仓位和手续费自动计算。</x:v>
      </x:c>
      <x:c r="AE2" s="123" t="str">
        <x:v>输入列为黄色，计算列为绿色。最终盈亏优先读取“手动盈亏”；留空时按方向、开平仓价、仓位和手续费自动计算。</x:v>
      </x:c>
      <x:c r="AF2" s="123" t="str">
        <x:v>输入列为黄色，计算列为绿色。最终盈亏优先读取“手动盈亏”；留空时按方向、开平仓价、仓位和手续费自动计算。</x:v>
      </x:c>
    </x:row>
    <x:row r="3">
      <x:c r="A3" s="14" t="str">
        <x:v>交易编号</x:v>
      </x:c>
      <x:c r="B3" s="14" t="str">
        <x:v>开仓日期</x:v>
      </x:c>
      <x:c r="C3" s="14" t="str">
        <x:v>平仓日期</x:v>
      </x:c>
      <x:c r="D3" s="14" t="str">
        <x:v>产品</x:v>
      </x:c>
      <x:c r="E3" s="14" t="str">
        <x:v>方向</x:v>
      </x:c>
      <x:c r="F3" s="14" t="str">
        <x:v>状态</x:v>
      </x:c>
      <x:c r="G3" s="14" t="str">
        <x:v>交易风格</x:v>
      </x:c>
      <x:c r="H3" s="14" t="str">
        <x:v>市场环境</x:v>
      </x:c>
      <x:c r="I3" s="14" t="str">
        <x:v>高周期偏向</x:v>
      </x:c>
      <x:c r="J3" s="14" t="str">
        <x:v>交易时段</x:v>
      </x:c>
      <x:c r="K3" s="14" t="str">
        <x:v>触发模型</x:v>
      </x:c>
      <x:c r="L3" s="14" t="str">
        <x:v>扫流动性</x:v>
      </x:c>
      <x:c r="M3" s="14" t="str">
        <x:v>开仓价</x:v>
      </x:c>
      <x:c r="N3" s="14" t="str">
        <x:v>止损价</x:v>
      </x:c>
      <x:c r="O3" s="14" t="str">
        <x:v>目标价</x:v>
      </x:c>
      <x:c r="P3" s="14" t="str">
        <x:v>平仓价</x:v>
      </x:c>
      <x:c r="Q3" s="14" t="str">
        <x:v>仓位(U)</x:v>
      </x:c>
      <x:c r="R3" s="14" t="str">
        <x:v>手续费(U)</x:v>
      </x:c>
      <x:c r="S3" s="14" t="str">
        <x:v>计划风险(U)</x:v>
      </x:c>
      <x:c r="T3" s="14" t="str">
        <x:v>计划RR</x:v>
      </x:c>
      <x:c r="U3" s="14" t="str">
        <x:v>手动盈亏(U)</x:v>
      </x:c>
      <x:c r="V3" s="14" t="str">
        <x:v>最终盈亏(U)</x:v>
      </x:c>
      <x:c r="W3" s="14" t="str">
        <x:v>实际R</x:v>
      </x:c>
      <x:c r="X3" s="14" t="str">
        <x:v>结果</x:v>
      </x:c>
      <x:c r="Y3" s="14" t="str">
        <x:v>按计划执行</x:v>
      </x:c>
      <x:c r="Z3" s="14" t="str">
        <x:v>违规标签</x:v>
      </x:c>
      <x:c r="AA3" s="14" t="str">
        <x:v>截图链接</x:v>
      </x:c>
      <x:c r="AB3" s="14" t="str">
        <x:v>交易理由</x:v>
      </x:c>
      <x:c r="AC3" s="14" t="str">
        <x:v>复盘结论</x:v>
      </x:c>
      <x:c r="AD3" s="14" t="str">
        <x:v>累计盈亏(U)</x:v>
      </x:c>
      <x:c r="AE3" s="14" t="str">
        <x:v>权益峰值</x:v>
      </x:c>
      <x:c r="AF3" s="14" t="str">
        <x:v>回撤(U)</x:v>
      </x:c>
    </x:row>
    <x:row r="4">
      <x:c r="A4" s="184" t="str">
        <x:v>T-003</x:v>
      </x:c>
      <x:c r="B4" s="185" t="n">
        <x:v>46188</x:v>
      </x:c>
      <x:c r="C4" s="185" t="n">
        <x:v>46188</x:v>
      </x:c>
      <x:c r="D4" s="186" t="str">
        <x:v>BTCUSDT</x:v>
      </x:c>
      <x:c r="E4" s="186" t="str">
        <x:v>做空</x:v>
      </x:c>
      <x:c r="F4" s="186" t="str">
        <x:v>已平仓</x:v>
      </x:c>
      <x:c r="G4" s="186" t="str">
        <x:v>波段</x:v>
      </x:c>
      <x:c r="H4" s="186" t="str">
        <x:v>未分类</x:v>
      </x:c>
      <x:c r="I4" s="186" t="str">
        <x:v>中性</x:v>
      </x:c>
      <x:c r="J4" s="186" t="str">
        <x:v>其他</x:v>
      </x:c>
      <x:c r="K4" s="186" t="str">
        <x:v>未分类</x:v>
      </x:c>
      <x:c r="L4" s="186" t="str">
        <x:v>未分类</x:v>
      </x:c>
      <x:c r="M4" s="187" t="n">
        <x:v>62800</x:v>
      </x:c>
      <x:c r="N4" s="187"/>
      <x:c r="O4" s="187"/>
      <x:c r="P4" s="187" t="n">
        <x:v>66000</x:v>
      </x:c>
      <x:c r="Q4" s="187" t="n">
        <x:v>800</x:v>
      </x:c>
      <x:c r="R4" s="187" t="n">
        <x:v>0</x:v>
      </x:c>
      <x:c r="S4" s="188" t="str">
        <x:f>IF(OR(M4="",N4="",Q4="",M4=0),"",ABS((M4-N4)/M4*Q4))</x:f>
      </x:c>
      <x:c r="T4" s="188" t="str">
        <x:f>IF(OR(M4="",N4="",O4="",M4=N4),"",ABS((O4-M4)/(M4-N4)))</x:f>
      </x:c>
      <x:c r="U4" s="187" t="n">
        <x:v>-40.76433121019109</x:v>
      </x:c>
      <x:c r="V4" s="188" t="n">
        <x:f>IF(U4&lt;&gt;"",U4,IF(OR(P4="",M4="",Q4="",E4=""),"",IF(E4="做多",(P4-M4)/M4*Q4-R4,(M4-P4)/M4*Q4-R4)))</x:f>
        <x:v>-40.76433121019109</x:v>
      </x:c>
      <x:c r="W4" s="189" t="str">
        <x:f>IF(OR(V4="",S4="",S4=0),"",V4/S4)</x:f>
      </x:c>
      <x:c r="X4" s="190" t="str">
        <x:f>IF(V4="","",IF(V4&gt;0,"Win",IF(V4&lt;0,"Loss","BE")))</x:f>
        <x:v>Loss</x:v>
      </x:c>
      <x:c r="Y4" s="186" t="str">
        <x:v>否</x:v>
      </x:c>
      <x:c r="Z4" s="186" t="str">
        <x:v>止损纪律</x:v>
      </x:c>
      <x:c r="AA4" s="186"/>
      <x:c r="AB4" s="186" t="str">
        <x:v>扛单不止损，到66000被迫离场。</x:v>
      </x:c>
      <x:c r="AC4" s="186" t="str">
        <x:v>开仓前写明失效点；不得扩大风险。</x:v>
      </x:c>
      <x:c r="AD4" s="188" t="n">
        <x:f>IF(A4="","",SUM($V$4:V4))</x:f>
        <x:v>-40.76433121019109</x:v>
      </x:c>
      <x:c r="AE4" s="188" t="n">
        <x:f>IF(AD4="","",MAX(0,$AD$4:AD4))</x:f>
        <x:v>0</x:v>
      </x:c>
      <x:c r="AF4" s="191" t="n">
        <x:f>IF(AD4="","",AD4-AE4)</x:f>
        <x:v>-40.76433121019109</x:v>
      </x:c>
    </x:row>
    <x:row r="5">
      <x:c r="A5" s="192" t="str">
        <x:v>T-001</x:v>
      </x:c>
      <x:c r="B5" s="193" t="n">
        <x:v>46192</x:v>
      </x:c>
      <x:c r="C5" s="193" t="n">
        <x:v>46192</x:v>
      </x:c>
      <x:c r="D5" s="194" t="str">
        <x:v>BTCUSDT</x:v>
      </x:c>
      <x:c r="E5" s="194" t="str">
        <x:v>做空</x:v>
      </x:c>
      <x:c r="F5" s="194" t="str">
        <x:v>已平仓</x:v>
      </x:c>
      <x:c r="G5" s="194" t="str">
        <x:v>日内</x:v>
      </x:c>
      <x:c r="H5" s="194" t="str">
        <x:v>未分类</x:v>
      </x:c>
      <x:c r="I5" s="194" t="str">
        <x:v>中性</x:v>
      </x:c>
      <x:c r="J5" s="194" t="str">
        <x:v>其他</x:v>
      </x:c>
      <x:c r="K5" s="194" t="str">
        <x:v>未分类</x:v>
      </x:c>
      <x:c r="L5" s="194" t="str">
        <x:v>未分类</x:v>
      </x:c>
      <x:c r="M5" s="195" t="n">
        <x:v>63200</x:v>
      </x:c>
      <x:c r="N5" s="195"/>
      <x:c r="O5" s="195"/>
      <x:c r="P5" s="195" t="n">
        <x:v>63000</x:v>
      </x:c>
      <x:c r="Q5" s="195" t="n">
        <x:v>2500</x:v>
      </x:c>
      <x:c r="R5" s="195" t="n">
        <x:v>0</x:v>
      </x:c>
      <x:c r="S5" s="196" t="str">
        <x:f>IF(OR(M5="",N5="",Q5="",M5=0),"",ABS((M5-N5)/M5*Q5))</x:f>
      </x:c>
      <x:c r="T5" s="196" t="str">
        <x:f>IF(OR(M5="",N5="",O5="",M5=N5),"",ABS((O5-M5)/(M5-N5)))</x:f>
      </x:c>
      <x:c r="U5" s="195" t="n">
        <x:v>7.911392405063291</x:v>
      </x:c>
      <x:c r="V5" s="196" t="n">
        <x:f>IF(U5&lt;&gt;"",U5,IF(OR(P5="",M5="",Q5="",E5=""),"",IF(E5="做多",(P5-M5)/M5*Q5-R5,(M5-P5)/M5*Q5-R5)))</x:f>
        <x:v>7.911392405063291</x:v>
      </x:c>
      <x:c r="W5" s="197" t="str">
        <x:f>IF(OR(V5="",S5="",S5=0),"",V5/S5)</x:f>
      </x:c>
      <x:c r="X5" s="198" t="str">
        <x:f>IF(V5="","",IF(V5&gt;0,"Win",IF(V5&lt;0,"Loss","BE")))</x:f>
        <x:v>Win</x:v>
      </x:c>
      <x:c r="Y5" s="194" t="str">
        <x:v>否</x:v>
      </x:c>
      <x:c r="Z5" s="194" t="str">
        <x:v>对冲代替止损</x:v>
      </x:c>
      <x:c r="AA5" s="194"/>
      <x:c r="AB5" s="194" t="str">
        <x:v>空单扛单到65500，因恐惧开对冲，最终空单小赚但对冲大亏。</x:v>
      </x:c>
      <x:c r="AC5" s="194" t="str">
        <x:v>盈利不代表执行正确；下次按失效点止损。</x:v>
      </x:c>
      <x:c r="AD5" s="196" t="n">
        <x:f>IF(A5="","",SUM($V$4:V5))</x:f>
        <x:v>-32.8529388051278</x:v>
      </x:c>
      <x:c r="AE5" s="196" t="n">
        <x:f>IF(AD5="","",MAX(0,$AD$4:AD5))</x:f>
        <x:v>0</x:v>
      </x:c>
      <x:c r="AF5" s="199" t="n">
        <x:f>IF(AD5="","",AD5-AE5)</x:f>
        <x:v>-32.8529388051278</x:v>
      </x:c>
    </x:row>
    <x:row r="6">
      <x:c r="A6" s="192" t="str">
        <x:v>T-002</x:v>
      </x:c>
      <x:c r="B6" s="193" t="n">
        <x:v>46193</x:v>
      </x:c>
      <x:c r="C6" s="193" t="n">
        <x:v>46193</x:v>
      </x:c>
      <x:c r="D6" s="194" t="str">
        <x:v>BTCUSDT</x:v>
      </x:c>
      <x:c r="E6" s="194" t="str">
        <x:v>做多</x:v>
      </x:c>
      <x:c r="F6" s="194" t="str">
        <x:v>已平仓</x:v>
      </x:c>
      <x:c r="G6" s="194" t="str">
        <x:v>对冲</x:v>
      </x:c>
      <x:c r="H6" s="194" t="str">
        <x:v>未分类</x:v>
      </x:c>
      <x:c r="I6" s="194" t="str">
        <x:v>中性</x:v>
      </x:c>
      <x:c r="J6" s="194" t="str">
        <x:v>其他</x:v>
      </x:c>
      <x:c r="K6" s="194" t="str">
        <x:v>未分类</x:v>
      </x:c>
      <x:c r="L6" s="194" t="str">
        <x:v>未分类</x:v>
      </x:c>
      <x:c r="M6" s="195" t="n">
        <x:v>64600</x:v>
      </x:c>
      <x:c r="N6" s="195"/>
      <x:c r="O6" s="195"/>
      <x:c r="P6" s="195" t="n">
        <x:v>62100</x:v>
      </x:c>
      <x:c r="Q6" s="195" t="n">
        <x:v>2500</x:v>
      </x:c>
      <x:c r="R6" s="195" t="n">
        <x:v>0</x:v>
      </x:c>
      <x:c r="S6" s="196" t="str">
        <x:f>IF(OR(M6="",N6="",Q6="",M6=0),"",ABS((M6-N6)/M6*Q6))</x:f>
      </x:c>
      <x:c r="T6" s="196" t="str">
        <x:f>IF(OR(M6="",N6="",O6="",M6=N6),"",ABS((O6-M6)/(M6-N6)))</x:f>
      </x:c>
      <x:c r="U6" s="195" t="n">
        <x:v>-96.74922600619196</x:v>
      </x:c>
      <x:c r="V6" s="196" t="n">
        <x:f>IF(U6&lt;&gt;"",U6,IF(OR(P6="",M6="",Q6="",E6=""),"",IF(E6="做多",(P6-M6)/M6*Q6-R6,(M6-P6)/M6*Q6-R6)))</x:f>
        <x:v>-96.74922600619196</x:v>
      </x:c>
      <x:c r="W6" s="197" t="str">
        <x:f>IF(OR(V6="",S6="",S6=0),"",V6/S6)</x:f>
      </x:c>
      <x:c r="X6" s="198" t="str">
        <x:f>IF(V6="","",IF(V6&gt;0,"Win",IF(V6&lt;0,"Loss","BE")))</x:f>
        <x:v>Loss</x:v>
      </x:c>
      <x:c r="Y6" s="194" t="str">
        <x:v>否</x:v>
      </x:c>
      <x:c r="Z6" s="194" t="str">
        <x:v>对冲代替止损</x:v>
      </x:c>
      <x:c r="AA6" s="194"/>
      <x:c r="AB6" s="194" t="str">
        <x:v>恐惧上涨而开的对冲多单，行情反转后大亏。</x:v>
      </x:c>
      <x:c r="AC6" s="194" t="str">
        <x:v>对冲不能替代原仓位的止损纪律。</x:v>
      </x:c>
      <x:c r="AD6" s="196" t="n">
        <x:f>IF(A6="","",SUM($V$4:V6))</x:f>
        <x:v>-129.60216481131977</x:v>
      </x:c>
      <x:c r="AE6" s="196" t="n">
        <x:f>IF(AD6="","",MAX(0,$AD$4:AD6))</x:f>
        <x:v>0</x:v>
      </x:c>
      <x:c r="AF6" s="199" t="n">
        <x:f>IF(AD6="","",AD6-AE6)</x:f>
        <x:v>-129.60216481131977</x:v>
      </x:c>
    </x:row>
    <x:row r="7">
      <x:c r="A7" s="192" t="str">
        <x:v>T-004</x:v>
      </x:c>
      <x:c r="B7" s="193" t="n">
        <x:v>46195</x:v>
      </x:c>
      <x:c r="C7" s="193" t="n">
        <x:v>46195</x:v>
      </x:c>
      <x:c r="D7" s="194" t="str">
        <x:v>ETHUSDT</x:v>
      </x:c>
      <x:c r="E7" s="194" t="str">
        <x:v>做空</x:v>
      </x:c>
      <x:c r="F7" s="194" t="str">
        <x:v>已平仓</x:v>
      </x:c>
      <x:c r="G7" s="194" t="str">
        <x:v>趋势</x:v>
      </x:c>
      <x:c r="H7" s="194" t="str">
        <x:v>未分类</x:v>
      </x:c>
      <x:c r="I7" s="194" t="str">
        <x:v>中性</x:v>
      </x:c>
      <x:c r="J7" s="194" t="str">
        <x:v>其他</x:v>
      </x:c>
      <x:c r="K7" s="194" t="str">
        <x:v>未分类</x:v>
      </x:c>
      <x:c r="L7" s="194" t="str">
        <x:v>未分类</x:v>
      </x:c>
      <x:c r="M7" s="195" t="n">
        <x:v>1763</x:v>
      </x:c>
      <x:c r="N7" s="195"/>
      <x:c r="O7" s="195" t="n">
        <x:v>1720</x:v>
      </x:c>
      <x:c r="P7" s="195" t="n">
        <x:v>1753</x:v>
      </x:c>
      <x:c r="Q7" s="195" t="n">
        <x:v>3000</x:v>
      </x:c>
      <x:c r="R7" s="195" t="n">
        <x:v>0</x:v>
      </x:c>
      <x:c r="S7" s="196" t="str">
        <x:f>IF(OR(M7="",N7="",Q7="",M7=0),"",ABS((M7-N7)/M7*Q7))</x:f>
      </x:c>
      <x:c r="T7" s="196" t="str">
        <x:f>IF(OR(M7="",N7="",O7="",M7=N7),"",ABS((O7-M7)/(M7-N7)))</x:f>
      </x:c>
      <x:c r="U7" s="195" t="n">
        <x:v>17.016449234259785</x:v>
      </x:c>
      <x:c r="V7" s="196" t="n">
        <x:f>IF(U7&lt;&gt;"",U7,IF(OR(P7="",M7="",Q7="",E7=""),"",IF(E7="做多",(P7-M7)/M7*Q7-R7,(M7-P7)/M7*Q7-R7)))</x:f>
        <x:v>17.016449234259785</x:v>
      </x:c>
      <x:c r="W7" s="197" t="str">
        <x:f>IF(OR(V7="",S7="",S7=0),"",V7/S7)</x:f>
      </x:c>
      <x:c r="X7" s="198" t="str">
        <x:f>IF(V7="","",IF(V7&gt;0,"Win",IF(V7&lt;0,"Loss","BE")))</x:f>
        <x:v>Win</x:v>
      </x:c>
      <x:c r="Y7" s="194" t="str">
        <x:v>否</x:v>
      </x:c>
      <x:c r="Z7" s="194" t="str">
        <x:v>情绪提前平仓</x:v>
      </x:c>
      <x:c r="AA7" s="194"/>
      <x:c r="AB7" s="194" t="str">
        <x:v>方向正确，计划1720止盈，但在1753提前离场。</x:v>
      </x:c>
      <x:c r="AC7" s="194" t="str">
        <x:v>退出必须区分计划内保护与情绪退出。</x:v>
      </x:c>
      <x:c r="AD7" s="196" t="n">
        <x:f>IF(A7="","",SUM($V$4:V7))</x:f>
        <x:v>-112.58571557705999</x:v>
      </x:c>
      <x:c r="AE7" s="196" t="n">
        <x:f>IF(AD7="","",MAX(0,$AD$4:AD7))</x:f>
        <x:v>0</x:v>
      </x:c>
      <x:c r="AF7" s="199" t="n">
        <x:f>IF(AD7="","",AD7-AE7)</x:f>
        <x:v>-112.58571557705999</x:v>
      </x:c>
    </x:row>
    <x:row r="8">
      <x:c r="A8" s="192" t="str">
        <x:v>T-005</x:v>
      </x:c>
      <x:c r="B8" s="193" t="n">
        <x:v>46197</x:v>
      </x:c>
      <x:c r="C8" s="193"/>
      <x:c r="D8" s="194" t="str">
        <x:v>BTCUSDT</x:v>
      </x:c>
      <x:c r="E8" s="194" t="str">
        <x:v>做多</x:v>
      </x:c>
      <x:c r="F8" s="194" t="str">
        <x:v>待补充</x:v>
      </x:c>
      <x:c r="G8" s="194" t="str">
        <x:v>日内</x:v>
      </x:c>
      <x:c r="H8" s="194" t="str">
        <x:v>未分类</x:v>
      </x:c>
      <x:c r="I8" s="194" t="str">
        <x:v>中性</x:v>
      </x:c>
      <x:c r="J8" s="194" t="str">
        <x:v>其他</x:v>
      </x:c>
      <x:c r="K8" s="194" t="str">
        <x:v>未分类</x:v>
      </x:c>
      <x:c r="L8" s="194" t="str">
        <x:v>未分类</x:v>
      </x:c>
      <x:c r="M8" s="195" t="n">
        <x:v>61208.4</x:v>
      </x:c>
      <x:c r="N8" s="195" t="n">
        <x:v>60800</x:v>
      </x:c>
      <x:c r="O8" s="195" t="n">
        <x:v>62000</x:v>
      </x:c>
      <x:c r="P8" s="195"/>
      <x:c r="Q8" s="195" t="n">
        <x:v>2386.8</x:v>
      </x:c>
      <x:c r="R8" s="195" t="n">
        <x:v>0</x:v>
      </x:c>
      <x:c r="S8" s="196" t="n">
        <x:f>IF(OR(M8="",N8="",Q8="",M8=0),"",ABS((M8-N8)/M8*Q8))</x:f>
        <x:v>15.925414158841</x:v>
      </x:c>
      <x:c r="T8" s="196" t="n">
        <x:f>IF(OR(M8="",N8="",O8="",M8=N8),"",ABS((O8-M8)/(M8-N8)))</x:f>
        <x:v>1.9382957884426928</x:v>
      </x:c>
      <x:c r="U8" s="195"/>
      <x:c r="V8" s="196" t="str">
        <x:f>IF(U8&lt;&gt;"",U8,IF(OR(P8="",M8="",Q8="",E8=""),"",IF(E8="做多",(P8-M8)/M8*Q8-R8,(M8-P8)/M8*Q8-R8)))</x:f>
      </x:c>
      <x:c r="W8" s="197" t="str">
        <x:f>IF(OR(V8="",S8="",S8=0),"",V8/S8)</x:f>
      </x:c>
      <x:c r="X8" s="198" t="str">
        <x:f>IF(V8="","",IF(V8&gt;0,"Win",IF(V8&lt;0,"Loss","BE")))</x:f>
      </x:c>
      <x:c r="Y8" s="194" t="str">
        <x:v>待复盘</x:v>
      </x:c>
      <x:c r="Z8" s="194" t="str">
        <x:v>其他</x:v>
      </x:c>
      <x:c r="AA8" s="194"/>
      <x:c r="AB8" s="194" t="str">
        <x:v>超跌反弹，底部出现承接。</x:v>
      </x:c>
      <x:c r="AC8" s="194" t="str">
        <x:v>原表缺少平仓价，未沿用由空值计算出的亏损。</x:v>
      </x:c>
      <x:c r="AD8" s="196" t="n">
        <x:f>IF(A8="","",SUM($V$4:V8))</x:f>
        <x:v>-112.58571557705999</x:v>
      </x:c>
      <x:c r="AE8" s="196" t="n">
        <x:f>IF(AD8="","",MAX(0,$AD$4:AD8))</x:f>
        <x:v>0</x:v>
      </x:c>
      <x:c r="AF8" s="199" t="n">
        <x:f>IF(AD8="","",AD8-AE8)</x:f>
        <x:v>-112.58571557705999</x:v>
      </x:c>
    </x:row>
    <x:row r="9">
      <x:c r="A9" s="192"/>
      <x:c r="B9" s="193"/>
      <x:c r="C9" s="193"/>
      <x:c r="D9" s="194"/>
      <x:c r="E9" s="194"/>
      <x:c r="F9" s="194"/>
      <x:c r="G9" s="194"/>
      <x:c r="H9" s="194"/>
      <x:c r="I9" s="194"/>
      <x:c r="J9" s="194"/>
      <x:c r="K9" s="194"/>
      <x:c r="L9" s="194"/>
      <x:c r="M9" s="195"/>
      <x:c r="N9" s="195"/>
      <x:c r="O9" s="195"/>
      <x:c r="P9" s="195"/>
      <x:c r="Q9" s="195"/>
      <x:c r="R9" s="195"/>
      <x:c r="S9" s="196" t="str">
        <x:f>IF(OR(M9="",N9="",Q9="",M9=0),"",ABS((M9-N9)/M9*Q9))</x:f>
      </x:c>
      <x:c r="T9" s="196" t="str">
        <x:f>IF(OR(M9="",N9="",O9="",M9=N9),"",ABS((O9-M9)/(M9-N9)))</x:f>
      </x:c>
      <x:c r="U9" s="195"/>
      <x:c r="V9" s="196" t="str">
        <x:f>IF(U9&lt;&gt;"",U9,IF(OR(P9="",M9="",Q9="",E9=""),"",IF(E9="做多",(P9-M9)/M9*Q9-R9,(M9-P9)/M9*Q9-R9)))</x:f>
      </x:c>
      <x:c r="W9" s="197" t="str">
        <x:f>IF(OR(V9="",S9="",S9=0),"",V9/S9)</x:f>
      </x:c>
      <x:c r="X9" s="198" t="str">
        <x:f>IF(V9="","",IF(V9&gt;0,"Win",IF(V9&lt;0,"Loss","BE")))</x:f>
      </x:c>
      <x:c r="Y9" s="194"/>
      <x:c r="Z9" s="194"/>
      <x:c r="AA9" s="194"/>
      <x:c r="AB9" s="194"/>
      <x:c r="AC9" s="194"/>
      <x:c r="AD9" s="196" t="str">
        <x:f>IF(A9="","",SUM($V$4:V9))</x:f>
      </x:c>
      <x:c r="AE9" s="196" t="str">
        <x:f>IF(AD9="","",MAX(0,$AD$4:AD9))</x:f>
      </x:c>
      <x:c r="AF9" s="199" t="str">
        <x:f>IF(AD9="","",AD9-AE9)</x:f>
      </x:c>
    </x:row>
    <x:row r="10">
      <x:c r="A10" s="192"/>
      <x:c r="B10" s="193"/>
      <x:c r="C10" s="193"/>
      <x:c r="D10" s="194"/>
      <x:c r="E10" s="194"/>
      <x:c r="F10" s="194"/>
      <x:c r="G10" s="194"/>
      <x:c r="H10" s="194"/>
      <x:c r="I10" s="194"/>
      <x:c r="J10" s="194"/>
      <x:c r="K10" s="194"/>
      <x:c r="L10" s="194"/>
      <x:c r="M10" s="195"/>
      <x:c r="N10" s="195"/>
      <x:c r="O10" s="195"/>
      <x:c r="P10" s="195"/>
      <x:c r="Q10" s="195"/>
      <x:c r="R10" s="195"/>
      <x:c r="S10" s="196" t="str">
        <x:f>IF(OR(M10="",N10="",Q10="",M10=0),"",ABS((M10-N10)/M10*Q10))</x:f>
      </x:c>
      <x:c r="T10" s="196" t="str">
        <x:f>IF(OR(M10="",N10="",O10="",M10=N10),"",ABS((O10-M10)/(M10-N10)))</x:f>
      </x:c>
      <x:c r="U10" s="195"/>
      <x:c r="V10" s="196" t="str">
        <x:f>IF(U10&lt;&gt;"",U10,IF(OR(P10="",M10="",Q10="",E10=""),"",IF(E10="做多",(P10-M10)/M10*Q10-R10,(M10-P10)/M10*Q10-R10)))</x:f>
      </x:c>
      <x:c r="W10" s="197" t="str">
        <x:f>IF(OR(V10="",S10="",S10=0),"",V10/S10)</x:f>
      </x:c>
      <x:c r="X10" s="198" t="str">
        <x:f>IF(V10="","",IF(V10&gt;0,"Win",IF(V10&lt;0,"Loss","BE")))</x:f>
      </x:c>
      <x:c r="Y10" s="194"/>
      <x:c r="Z10" s="194"/>
      <x:c r="AA10" s="194"/>
      <x:c r="AB10" s="194"/>
      <x:c r="AC10" s="194"/>
      <x:c r="AD10" s="196" t="str">
        <x:f>IF(A10="","",SUM($V$4:V10))</x:f>
      </x:c>
      <x:c r="AE10" s="196" t="str">
        <x:f>IF(AD10="","",MAX(0,$AD$4:AD10))</x:f>
      </x:c>
      <x:c r="AF10" s="199" t="str">
        <x:f>IF(AD10="","",AD10-AE10)</x:f>
      </x:c>
    </x:row>
    <x:row r="11">
      <x:c r="A11" s="192"/>
      <x:c r="B11" s="193"/>
      <x:c r="C11" s="193"/>
      <x:c r="D11" s="194"/>
      <x:c r="E11" s="194"/>
      <x:c r="F11" s="194"/>
      <x:c r="G11" s="194"/>
      <x:c r="H11" s="194"/>
      <x:c r="I11" s="194"/>
      <x:c r="J11" s="194"/>
      <x:c r="K11" s="194"/>
      <x:c r="L11" s="194"/>
      <x:c r="M11" s="195"/>
      <x:c r="N11" s="195"/>
      <x:c r="O11" s="195"/>
      <x:c r="P11" s="195"/>
      <x:c r="Q11" s="195"/>
      <x:c r="R11" s="195"/>
      <x:c r="S11" s="196" t="str">
        <x:f>IF(OR(M11="",N11="",Q11="",M11=0),"",ABS((M11-N11)/M11*Q11))</x:f>
      </x:c>
      <x:c r="T11" s="196" t="str">
        <x:f>IF(OR(M11="",N11="",O11="",M11=N11),"",ABS((O11-M11)/(M11-N11)))</x:f>
      </x:c>
      <x:c r="U11" s="195"/>
      <x:c r="V11" s="196" t="str">
        <x:f>IF(U11&lt;&gt;"",U11,IF(OR(P11="",M11="",Q11="",E11=""),"",IF(E11="做多",(P11-M11)/M11*Q11-R11,(M11-P11)/M11*Q11-R11)))</x:f>
      </x:c>
      <x:c r="W11" s="197" t="str">
        <x:f>IF(OR(V11="",S11="",S11=0),"",V11/S11)</x:f>
      </x:c>
      <x:c r="X11" s="198" t="str">
        <x:f>IF(V11="","",IF(V11&gt;0,"Win",IF(V11&lt;0,"Loss","BE")))</x:f>
      </x:c>
      <x:c r="Y11" s="194"/>
      <x:c r="Z11" s="194"/>
      <x:c r="AA11" s="194"/>
      <x:c r="AB11" s="194"/>
      <x:c r="AC11" s="194"/>
      <x:c r="AD11" s="196" t="str">
        <x:f>IF(A11="","",SUM($V$4:V11))</x:f>
      </x:c>
      <x:c r="AE11" s="196" t="str">
        <x:f>IF(AD11="","",MAX(0,$AD$4:AD11))</x:f>
      </x:c>
      <x:c r="AF11" s="199" t="str">
        <x:f>IF(AD11="","",AD11-AE11)</x:f>
      </x:c>
    </x:row>
    <x:row r="12">
      <x:c r="A12" s="192"/>
      <x:c r="B12" s="193"/>
      <x:c r="C12" s="193"/>
      <x:c r="D12" s="194"/>
      <x:c r="E12" s="194"/>
      <x:c r="F12" s="194"/>
      <x:c r="G12" s="194"/>
      <x:c r="H12" s="194"/>
      <x:c r="I12" s="194"/>
      <x:c r="J12" s="194"/>
      <x:c r="K12" s="194"/>
      <x:c r="L12" s="194"/>
      <x:c r="M12" s="195"/>
      <x:c r="N12" s="195"/>
      <x:c r="O12" s="195"/>
      <x:c r="P12" s="195"/>
      <x:c r="Q12" s="195"/>
      <x:c r="R12" s="195"/>
      <x:c r="S12" s="196" t="str">
        <x:f>IF(OR(M12="",N12="",Q12="",M12=0),"",ABS((M12-N12)/M12*Q12))</x:f>
      </x:c>
      <x:c r="T12" s="196" t="str">
        <x:f>IF(OR(M12="",N12="",O12="",M12=N12),"",ABS((O12-M12)/(M12-N12)))</x:f>
      </x:c>
      <x:c r="U12" s="195"/>
      <x:c r="V12" s="196" t="str">
        <x:f>IF(U12&lt;&gt;"",U12,IF(OR(P12="",M12="",Q12="",E12=""),"",IF(E12="做多",(P12-M12)/M12*Q12-R12,(M12-P12)/M12*Q12-R12)))</x:f>
      </x:c>
      <x:c r="W12" s="197" t="str">
        <x:f>IF(OR(V12="",S12="",S12=0),"",V12/S12)</x:f>
      </x:c>
      <x:c r="X12" s="198" t="str">
        <x:f>IF(V12="","",IF(V12&gt;0,"Win",IF(V12&lt;0,"Loss","BE")))</x:f>
      </x:c>
      <x:c r="Y12" s="194"/>
      <x:c r="Z12" s="194"/>
      <x:c r="AA12" s="194"/>
      <x:c r="AB12" s="194"/>
      <x:c r="AC12" s="194"/>
      <x:c r="AD12" s="196" t="str">
        <x:f>IF(A12="","",SUM($V$4:V12))</x:f>
      </x:c>
      <x:c r="AE12" s="196" t="str">
        <x:f>IF(AD12="","",MAX(0,$AD$4:AD12))</x:f>
      </x:c>
      <x:c r="AF12" s="199" t="str">
        <x:f>IF(AD12="","",AD12-AE12)</x:f>
      </x:c>
    </x:row>
    <x:row r="13">
      <x:c r="A13" s="192"/>
      <x:c r="B13" s="193"/>
      <x:c r="C13" s="193"/>
      <x:c r="D13" s="194"/>
      <x:c r="E13" s="194"/>
      <x:c r="F13" s="194"/>
      <x:c r="G13" s="194"/>
      <x:c r="H13" s="194"/>
      <x:c r="I13" s="194"/>
      <x:c r="J13" s="194"/>
      <x:c r="K13" s="194"/>
      <x:c r="L13" s="194"/>
      <x:c r="M13" s="195"/>
      <x:c r="N13" s="195"/>
      <x:c r="O13" s="195"/>
      <x:c r="P13" s="195"/>
      <x:c r="Q13" s="195"/>
      <x:c r="R13" s="195"/>
      <x:c r="S13" s="196" t="str">
        <x:f>IF(OR(M13="",N13="",Q13="",M13=0),"",ABS((M13-N13)/M13*Q13))</x:f>
      </x:c>
      <x:c r="T13" s="196" t="str">
        <x:f>IF(OR(M13="",N13="",O13="",M13=N13),"",ABS((O13-M13)/(M13-N13)))</x:f>
      </x:c>
      <x:c r="U13" s="195"/>
      <x:c r="V13" s="196" t="str">
        <x:f>IF(U13&lt;&gt;"",U13,IF(OR(P13="",M13="",Q13="",E13=""),"",IF(E13="做多",(P13-M13)/M13*Q13-R13,(M13-P13)/M13*Q13-R13)))</x:f>
      </x:c>
      <x:c r="W13" s="197" t="str">
        <x:f>IF(OR(V13="",S13="",S13=0),"",V13/S13)</x:f>
      </x:c>
      <x:c r="X13" s="198" t="str">
        <x:f>IF(V13="","",IF(V13&gt;0,"Win",IF(V13&lt;0,"Loss","BE")))</x:f>
      </x:c>
      <x:c r="Y13" s="194"/>
      <x:c r="Z13" s="194"/>
      <x:c r="AA13" s="194"/>
      <x:c r="AB13" s="194"/>
      <x:c r="AC13" s="194"/>
      <x:c r="AD13" s="196" t="str">
        <x:f>IF(A13="","",SUM($V$4:V13))</x:f>
      </x:c>
      <x:c r="AE13" s="196" t="str">
        <x:f>IF(AD13="","",MAX(0,$AD$4:AD13))</x:f>
      </x:c>
      <x:c r="AF13" s="199" t="str">
        <x:f>IF(AD13="","",AD13-AE13)</x:f>
      </x:c>
    </x:row>
    <x:row r="14">
      <x:c r="A14" s="192"/>
      <x:c r="B14" s="193"/>
      <x:c r="C14" s="193"/>
      <x:c r="D14" s="194"/>
      <x:c r="E14" s="194"/>
      <x:c r="F14" s="194"/>
      <x:c r="G14" s="194"/>
      <x:c r="H14" s="194"/>
      <x:c r="I14" s="194"/>
      <x:c r="J14" s="194"/>
      <x:c r="K14" s="194"/>
      <x:c r="L14" s="194"/>
      <x:c r="M14" s="195"/>
      <x:c r="N14" s="195"/>
      <x:c r="O14" s="195"/>
      <x:c r="P14" s="195"/>
      <x:c r="Q14" s="195"/>
      <x:c r="R14" s="195"/>
      <x:c r="S14" s="196" t="str">
        <x:f>IF(OR(M14="",N14="",Q14="",M14=0),"",ABS((M14-N14)/M14*Q14))</x:f>
      </x:c>
      <x:c r="T14" s="196" t="str">
        <x:f>IF(OR(M14="",N14="",O14="",M14=N14),"",ABS((O14-M14)/(M14-N14)))</x:f>
      </x:c>
      <x:c r="U14" s="195"/>
      <x:c r="V14" s="196" t="str">
        <x:f>IF(U14&lt;&gt;"",U14,IF(OR(P14="",M14="",Q14="",E14=""),"",IF(E14="做多",(P14-M14)/M14*Q14-R14,(M14-P14)/M14*Q14-R14)))</x:f>
      </x:c>
      <x:c r="W14" s="197" t="str">
        <x:f>IF(OR(V14="",S14="",S14=0),"",V14/S14)</x:f>
      </x:c>
      <x:c r="X14" s="198" t="str">
        <x:f>IF(V14="","",IF(V14&gt;0,"Win",IF(V14&lt;0,"Loss","BE")))</x:f>
      </x:c>
      <x:c r="Y14" s="194"/>
      <x:c r="Z14" s="194"/>
      <x:c r="AA14" s="194"/>
      <x:c r="AB14" s="194"/>
      <x:c r="AC14" s="194"/>
      <x:c r="AD14" s="196" t="str">
        <x:f>IF(A14="","",SUM($V$4:V14))</x:f>
      </x:c>
      <x:c r="AE14" s="196" t="str">
        <x:f>IF(AD14="","",MAX(0,$AD$4:AD14))</x:f>
      </x:c>
      <x:c r="AF14" s="199" t="str">
        <x:f>IF(AD14="","",AD14-AE14)</x:f>
      </x:c>
    </x:row>
    <x:row r="15">
      <x:c r="A15" s="192"/>
      <x:c r="B15" s="193"/>
      <x:c r="C15" s="193"/>
      <x:c r="D15" s="194"/>
      <x:c r="E15" s="194"/>
      <x:c r="F15" s="194"/>
      <x:c r="G15" s="194"/>
      <x:c r="H15" s="194"/>
      <x:c r="I15" s="194"/>
      <x:c r="J15" s="194"/>
      <x:c r="K15" s="194"/>
      <x:c r="L15" s="194"/>
      <x:c r="M15" s="195"/>
      <x:c r="N15" s="195"/>
      <x:c r="O15" s="195"/>
      <x:c r="P15" s="195"/>
      <x:c r="Q15" s="195"/>
      <x:c r="R15" s="195"/>
      <x:c r="S15" s="196" t="str">
        <x:f>IF(OR(M15="",N15="",Q15="",M15=0),"",ABS((M15-N15)/M15*Q15))</x:f>
      </x:c>
      <x:c r="T15" s="196" t="str">
        <x:f>IF(OR(M15="",N15="",O15="",M15=N15),"",ABS((O15-M15)/(M15-N15)))</x:f>
      </x:c>
      <x:c r="U15" s="195"/>
      <x:c r="V15" s="196" t="str">
        <x:f>IF(U15&lt;&gt;"",U15,IF(OR(P15="",M15="",Q15="",E15=""),"",IF(E15="做多",(P15-M15)/M15*Q15-R15,(M15-P15)/M15*Q15-R15)))</x:f>
      </x:c>
      <x:c r="W15" s="197" t="str">
        <x:f>IF(OR(V15="",S15="",S15=0),"",V15/S15)</x:f>
      </x:c>
      <x:c r="X15" s="198" t="str">
        <x:f>IF(V15="","",IF(V15&gt;0,"Win",IF(V15&lt;0,"Loss","BE")))</x:f>
      </x:c>
      <x:c r="Y15" s="194"/>
      <x:c r="Z15" s="194"/>
      <x:c r="AA15" s="194"/>
      <x:c r="AB15" s="194"/>
      <x:c r="AC15" s="194"/>
      <x:c r="AD15" s="196" t="str">
        <x:f>IF(A15="","",SUM($V$4:V15))</x:f>
      </x:c>
      <x:c r="AE15" s="196" t="str">
        <x:f>IF(AD15="","",MAX(0,$AD$4:AD15))</x:f>
      </x:c>
      <x:c r="AF15" s="199" t="str">
        <x:f>IF(AD15="","",AD15-AE15)</x:f>
      </x:c>
    </x:row>
    <x:row r="16">
      <x:c r="A16" s="192"/>
      <x:c r="B16" s="193"/>
      <x:c r="C16" s="193"/>
      <x:c r="D16" s="194"/>
      <x:c r="E16" s="194"/>
      <x:c r="F16" s="194"/>
      <x:c r="G16" s="194"/>
      <x:c r="H16" s="194"/>
      <x:c r="I16" s="194"/>
      <x:c r="J16" s="194"/>
      <x:c r="K16" s="194"/>
      <x:c r="L16" s="194"/>
      <x:c r="M16" s="195"/>
      <x:c r="N16" s="195"/>
      <x:c r="O16" s="195"/>
      <x:c r="P16" s="195"/>
      <x:c r="Q16" s="195"/>
      <x:c r="R16" s="195"/>
      <x:c r="S16" s="196" t="str">
        <x:f>IF(OR(M16="",N16="",Q16="",M16=0),"",ABS((M16-N16)/M16*Q16))</x:f>
      </x:c>
      <x:c r="T16" s="196" t="str">
        <x:f>IF(OR(M16="",N16="",O16="",M16=N16),"",ABS((O16-M16)/(M16-N16)))</x:f>
      </x:c>
      <x:c r="U16" s="195"/>
      <x:c r="V16" s="196" t="str">
        <x:f>IF(U16&lt;&gt;"",U16,IF(OR(P16="",M16="",Q16="",E16=""),"",IF(E16="做多",(P16-M16)/M16*Q16-R16,(M16-P16)/M16*Q16-R16)))</x:f>
      </x:c>
      <x:c r="W16" s="197" t="str">
        <x:f>IF(OR(V16="",S16="",S16=0),"",V16/S16)</x:f>
      </x:c>
      <x:c r="X16" s="198" t="str">
        <x:f>IF(V16="","",IF(V16&gt;0,"Win",IF(V16&lt;0,"Loss","BE")))</x:f>
      </x:c>
      <x:c r="Y16" s="194"/>
      <x:c r="Z16" s="194"/>
      <x:c r="AA16" s="194"/>
      <x:c r="AB16" s="194"/>
      <x:c r="AC16" s="194"/>
      <x:c r="AD16" s="196" t="str">
        <x:f>IF(A16="","",SUM($V$4:V16))</x:f>
      </x:c>
      <x:c r="AE16" s="196" t="str">
        <x:f>IF(AD16="","",MAX(0,$AD$4:AD16))</x:f>
      </x:c>
      <x:c r="AF16" s="199" t="str">
        <x:f>IF(AD16="","",AD16-AE16)</x:f>
      </x:c>
    </x:row>
    <x:row r="17">
      <x:c r="A17" s="192"/>
      <x:c r="B17" s="193"/>
      <x:c r="C17" s="193"/>
      <x:c r="D17" s="194"/>
      <x:c r="E17" s="194"/>
      <x:c r="F17" s="194"/>
      <x:c r="G17" s="194"/>
      <x:c r="H17" s="194"/>
      <x:c r="I17" s="194"/>
      <x:c r="J17" s="194"/>
      <x:c r="K17" s="194"/>
      <x:c r="L17" s="194"/>
      <x:c r="M17" s="195"/>
      <x:c r="N17" s="195"/>
      <x:c r="O17" s="195"/>
      <x:c r="P17" s="195"/>
      <x:c r="Q17" s="195"/>
      <x:c r="R17" s="195"/>
      <x:c r="S17" s="196" t="str">
        <x:f>IF(OR(M17="",N17="",Q17="",M17=0),"",ABS((M17-N17)/M17*Q17))</x:f>
      </x:c>
      <x:c r="T17" s="196" t="str">
        <x:f>IF(OR(M17="",N17="",O17="",M17=N17),"",ABS((O17-M17)/(M17-N17)))</x:f>
      </x:c>
      <x:c r="U17" s="195"/>
      <x:c r="V17" s="196" t="str">
        <x:f>IF(U17&lt;&gt;"",U17,IF(OR(P17="",M17="",Q17="",E17=""),"",IF(E17="做多",(P17-M17)/M17*Q17-R17,(M17-P17)/M17*Q17-R17)))</x:f>
      </x:c>
      <x:c r="W17" s="197" t="str">
        <x:f>IF(OR(V17="",S17="",S17=0),"",V17/S17)</x:f>
      </x:c>
      <x:c r="X17" s="198" t="str">
        <x:f>IF(V17="","",IF(V17&gt;0,"Win",IF(V17&lt;0,"Loss","BE")))</x:f>
      </x:c>
      <x:c r="Y17" s="194"/>
      <x:c r="Z17" s="194"/>
      <x:c r="AA17" s="194"/>
      <x:c r="AB17" s="194"/>
      <x:c r="AC17" s="194"/>
      <x:c r="AD17" s="196" t="str">
        <x:f>IF(A17="","",SUM($V$4:V17))</x:f>
      </x:c>
      <x:c r="AE17" s="196" t="str">
        <x:f>IF(AD17="","",MAX(0,$AD$4:AD17))</x:f>
      </x:c>
      <x:c r="AF17" s="199" t="str">
        <x:f>IF(AD17="","",AD17-AE17)</x:f>
      </x:c>
    </x:row>
    <x:row r="18">
      <x:c r="A18" s="192"/>
      <x:c r="B18" s="193"/>
      <x:c r="C18" s="193"/>
      <x:c r="D18" s="194"/>
      <x:c r="E18" s="194"/>
      <x:c r="F18" s="194"/>
      <x:c r="G18" s="194"/>
      <x:c r="H18" s="194"/>
      <x:c r="I18" s="194"/>
      <x:c r="J18" s="194"/>
      <x:c r="K18" s="194"/>
      <x:c r="L18" s="194"/>
      <x:c r="M18" s="195"/>
      <x:c r="N18" s="195"/>
      <x:c r="O18" s="195"/>
      <x:c r="P18" s="195"/>
      <x:c r="Q18" s="195"/>
      <x:c r="R18" s="195"/>
      <x:c r="S18" s="196" t="str">
        <x:f>IF(OR(M18="",N18="",Q18="",M18=0),"",ABS((M18-N18)/M18*Q18))</x:f>
      </x:c>
      <x:c r="T18" s="196" t="str">
        <x:f>IF(OR(M18="",N18="",O18="",M18=N18),"",ABS((O18-M18)/(M18-N18)))</x:f>
      </x:c>
      <x:c r="U18" s="195"/>
      <x:c r="V18" s="196" t="str">
        <x:f>IF(U18&lt;&gt;"",U18,IF(OR(P18="",M18="",Q18="",E18=""),"",IF(E18="做多",(P18-M18)/M18*Q18-R18,(M18-P18)/M18*Q18-R18)))</x:f>
      </x:c>
      <x:c r="W18" s="197" t="str">
        <x:f>IF(OR(V18="",S18="",S18=0),"",V18/S18)</x:f>
      </x:c>
      <x:c r="X18" s="198" t="str">
        <x:f>IF(V18="","",IF(V18&gt;0,"Win",IF(V18&lt;0,"Loss","BE")))</x:f>
      </x:c>
      <x:c r="Y18" s="194"/>
      <x:c r="Z18" s="194"/>
      <x:c r="AA18" s="194"/>
      <x:c r="AB18" s="194"/>
      <x:c r="AC18" s="194"/>
      <x:c r="AD18" s="196" t="str">
        <x:f>IF(A18="","",SUM($V$4:V18))</x:f>
      </x:c>
      <x:c r="AE18" s="196" t="str">
        <x:f>IF(AD18="","",MAX(0,$AD$4:AD18))</x:f>
      </x:c>
      <x:c r="AF18" s="199" t="str">
        <x:f>IF(AD18="","",AD18-AE18)</x:f>
      </x:c>
    </x:row>
    <x:row r="19">
      <x:c r="A19" s="192"/>
      <x:c r="B19" s="193"/>
      <x:c r="C19" s="193"/>
      <x:c r="D19" s="194"/>
      <x:c r="E19" s="194"/>
      <x:c r="F19" s="194"/>
      <x:c r="G19" s="194"/>
      <x:c r="H19" s="194"/>
      <x:c r="I19" s="194"/>
      <x:c r="J19" s="194"/>
      <x:c r="K19" s="194"/>
      <x:c r="L19" s="194"/>
      <x:c r="M19" s="195"/>
      <x:c r="N19" s="195"/>
      <x:c r="O19" s="195"/>
      <x:c r="P19" s="195"/>
      <x:c r="Q19" s="195"/>
      <x:c r="R19" s="195"/>
      <x:c r="S19" s="196" t="str">
        <x:f>IF(OR(M19="",N19="",Q19="",M19=0),"",ABS((M19-N19)/M19*Q19))</x:f>
      </x:c>
      <x:c r="T19" s="196" t="str">
        <x:f>IF(OR(M19="",N19="",O19="",M19=N19),"",ABS((O19-M19)/(M19-N19)))</x:f>
      </x:c>
      <x:c r="U19" s="195"/>
      <x:c r="V19" s="196" t="str">
        <x:f>IF(U19&lt;&gt;"",U19,IF(OR(P19="",M19="",Q19="",E19=""),"",IF(E19="做多",(P19-M19)/M19*Q19-R19,(M19-P19)/M19*Q19-R19)))</x:f>
      </x:c>
      <x:c r="W19" s="197" t="str">
        <x:f>IF(OR(V19="",S19="",S19=0),"",V19/S19)</x:f>
      </x:c>
      <x:c r="X19" s="198" t="str">
        <x:f>IF(V19="","",IF(V19&gt;0,"Win",IF(V19&lt;0,"Loss","BE")))</x:f>
      </x:c>
      <x:c r="Y19" s="194"/>
      <x:c r="Z19" s="194"/>
      <x:c r="AA19" s="194"/>
      <x:c r="AB19" s="194"/>
      <x:c r="AC19" s="194"/>
      <x:c r="AD19" s="196" t="str">
        <x:f>IF(A19="","",SUM($V$4:V19))</x:f>
      </x:c>
      <x:c r="AE19" s="196" t="str">
        <x:f>IF(AD19="","",MAX(0,$AD$4:AD19))</x:f>
      </x:c>
      <x:c r="AF19" s="199" t="str">
        <x:f>IF(AD19="","",AD19-AE19)</x:f>
      </x:c>
    </x:row>
    <x:row r="20">
      <x:c r="A20" s="192"/>
      <x:c r="B20" s="193"/>
      <x:c r="C20" s="193"/>
      <x:c r="D20" s="194"/>
      <x:c r="E20" s="194"/>
      <x:c r="F20" s="194"/>
      <x:c r="G20" s="194"/>
      <x:c r="H20" s="194"/>
      <x:c r="I20" s="194"/>
      <x:c r="J20" s="194"/>
      <x:c r="K20" s="194"/>
      <x:c r="L20" s="194"/>
      <x:c r="M20" s="195"/>
      <x:c r="N20" s="195"/>
      <x:c r="O20" s="195"/>
      <x:c r="P20" s="195"/>
      <x:c r="Q20" s="195"/>
      <x:c r="R20" s="195"/>
      <x:c r="S20" s="196" t="str">
        <x:f>IF(OR(M20="",N20="",Q20="",M20=0),"",ABS((M20-N20)/M20*Q20))</x:f>
      </x:c>
      <x:c r="T20" s="196" t="str">
        <x:f>IF(OR(M20="",N20="",O20="",M20=N20),"",ABS((O20-M20)/(M20-N20)))</x:f>
      </x:c>
      <x:c r="U20" s="195"/>
      <x:c r="V20" s="196" t="str">
        <x:f>IF(U20&lt;&gt;"",U20,IF(OR(P20="",M20="",Q20="",E20=""),"",IF(E20="做多",(P20-M20)/M20*Q20-R20,(M20-P20)/M20*Q20-R20)))</x:f>
      </x:c>
      <x:c r="W20" s="197" t="str">
        <x:f>IF(OR(V20="",S20="",S20=0),"",V20/S20)</x:f>
      </x:c>
      <x:c r="X20" s="198" t="str">
        <x:f>IF(V20="","",IF(V20&gt;0,"Win",IF(V20&lt;0,"Loss","BE")))</x:f>
      </x:c>
      <x:c r="Y20" s="194"/>
      <x:c r="Z20" s="194"/>
      <x:c r="AA20" s="194"/>
      <x:c r="AB20" s="194"/>
      <x:c r="AC20" s="194"/>
      <x:c r="AD20" s="196" t="str">
        <x:f>IF(A20="","",SUM($V$4:V20))</x:f>
      </x:c>
      <x:c r="AE20" s="196" t="str">
        <x:f>IF(AD20="","",MAX(0,$AD$4:AD20))</x:f>
      </x:c>
      <x:c r="AF20" s="199" t="str">
        <x:f>IF(AD20="","",AD20-AE20)</x:f>
      </x:c>
    </x:row>
    <x:row r="21">
      <x:c r="A21" s="192"/>
      <x:c r="B21" s="193"/>
      <x:c r="C21" s="193"/>
      <x:c r="D21" s="194"/>
      <x:c r="E21" s="194"/>
      <x:c r="F21" s="194"/>
      <x:c r="G21" s="194"/>
      <x:c r="H21" s="194"/>
      <x:c r="I21" s="194"/>
      <x:c r="J21" s="194"/>
      <x:c r="K21" s="194"/>
      <x:c r="L21" s="194"/>
      <x:c r="M21" s="195"/>
      <x:c r="N21" s="195"/>
      <x:c r="O21" s="195"/>
      <x:c r="P21" s="195"/>
      <x:c r="Q21" s="195"/>
      <x:c r="R21" s="195"/>
      <x:c r="S21" s="196" t="str">
        <x:f>IF(OR(M21="",N21="",Q21="",M21=0),"",ABS((M21-N21)/M21*Q21))</x:f>
      </x:c>
      <x:c r="T21" s="196" t="str">
        <x:f>IF(OR(M21="",N21="",O21="",M21=N21),"",ABS((O21-M21)/(M21-N21)))</x:f>
      </x:c>
      <x:c r="U21" s="195"/>
      <x:c r="V21" s="196" t="str">
        <x:f>IF(U21&lt;&gt;"",U21,IF(OR(P21="",M21="",Q21="",E21=""),"",IF(E21="做多",(P21-M21)/M21*Q21-R21,(M21-P21)/M21*Q21-R21)))</x:f>
      </x:c>
      <x:c r="W21" s="197" t="str">
        <x:f>IF(OR(V21="",S21="",S21=0),"",V21/S21)</x:f>
      </x:c>
      <x:c r="X21" s="198" t="str">
        <x:f>IF(V21="","",IF(V21&gt;0,"Win",IF(V21&lt;0,"Loss","BE")))</x:f>
      </x:c>
      <x:c r="Y21" s="194"/>
      <x:c r="Z21" s="194"/>
      <x:c r="AA21" s="194"/>
      <x:c r="AB21" s="194"/>
      <x:c r="AC21" s="194"/>
      <x:c r="AD21" s="196" t="str">
        <x:f>IF(A21="","",SUM($V$4:V21))</x:f>
      </x:c>
      <x:c r="AE21" s="196" t="str">
        <x:f>IF(AD21="","",MAX(0,$AD$4:AD21))</x:f>
      </x:c>
      <x:c r="AF21" s="199" t="str">
        <x:f>IF(AD21="","",AD21-AE21)</x:f>
      </x:c>
    </x:row>
    <x:row r="22">
      <x:c r="A22" s="192"/>
      <x:c r="B22" s="193"/>
      <x:c r="C22" s="193"/>
      <x:c r="D22" s="194"/>
      <x:c r="E22" s="194"/>
      <x:c r="F22" s="194"/>
      <x:c r="G22" s="194"/>
      <x:c r="H22" s="194"/>
      <x:c r="I22" s="194"/>
      <x:c r="J22" s="194"/>
      <x:c r="K22" s="194"/>
      <x:c r="L22" s="194"/>
      <x:c r="M22" s="195"/>
      <x:c r="N22" s="195"/>
      <x:c r="O22" s="195"/>
      <x:c r="P22" s="195"/>
      <x:c r="Q22" s="195"/>
      <x:c r="R22" s="195"/>
      <x:c r="S22" s="196" t="str">
        <x:f>IF(OR(M22="",N22="",Q22="",M22=0),"",ABS((M22-N22)/M22*Q22))</x:f>
      </x:c>
      <x:c r="T22" s="196" t="str">
        <x:f>IF(OR(M22="",N22="",O22="",M22=N22),"",ABS((O22-M22)/(M22-N22)))</x:f>
      </x:c>
      <x:c r="U22" s="195"/>
      <x:c r="V22" s="196" t="str">
        <x:f>IF(U22&lt;&gt;"",U22,IF(OR(P22="",M22="",Q22="",E22=""),"",IF(E22="做多",(P22-M22)/M22*Q22-R22,(M22-P22)/M22*Q22-R22)))</x:f>
      </x:c>
      <x:c r="W22" s="197" t="str">
        <x:f>IF(OR(V22="",S22="",S22=0),"",V22/S22)</x:f>
      </x:c>
      <x:c r="X22" s="198" t="str">
        <x:f>IF(V22="","",IF(V22&gt;0,"Win",IF(V22&lt;0,"Loss","BE")))</x:f>
      </x:c>
      <x:c r="Y22" s="194"/>
      <x:c r="Z22" s="194"/>
      <x:c r="AA22" s="194"/>
      <x:c r="AB22" s="194"/>
      <x:c r="AC22" s="194"/>
      <x:c r="AD22" s="196" t="str">
        <x:f>IF(A22="","",SUM($V$4:V22))</x:f>
      </x:c>
      <x:c r="AE22" s="196" t="str">
        <x:f>IF(AD22="","",MAX(0,$AD$4:AD22))</x:f>
      </x:c>
      <x:c r="AF22" s="199" t="str">
        <x:f>IF(AD22="","",AD22-AE22)</x:f>
      </x:c>
    </x:row>
    <x:row r="23">
      <x:c r="A23" s="192"/>
      <x:c r="B23" s="193"/>
      <x:c r="C23" s="193"/>
      <x:c r="D23" s="194"/>
      <x:c r="E23" s="194"/>
      <x:c r="F23" s="194"/>
      <x:c r="G23" s="194"/>
      <x:c r="H23" s="194"/>
      <x:c r="I23" s="194"/>
      <x:c r="J23" s="194"/>
      <x:c r="K23" s="194"/>
      <x:c r="L23" s="194"/>
      <x:c r="M23" s="195"/>
      <x:c r="N23" s="195"/>
      <x:c r="O23" s="195"/>
      <x:c r="P23" s="195"/>
      <x:c r="Q23" s="195"/>
      <x:c r="R23" s="195"/>
      <x:c r="S23" s="196" t="str">
        <x:f>IF(OR(M23="",N23="",Q23="",M23=0),"",ABS((M23-N23)/M23*Q23))</x:f>
      </x:c>
      <x:c r="T23" s="196" t="str">
        <x:f>IF(OR(M23="",N23="",O23="",M23=N23),"",ABS((O23-M23)/(M23-N23)))</x:f>
      </x:c>
      <x:c r="U23" s="195"/>
      <x:c r="V23" s="196" t="str">
        <x:f>IF(U23&lt;&gt;"",U23,IF(OR(P23="",M23="",Q23="",E23=""),"",IF(E23="做多",(P23-M23)/M23*Q23-R23,(M23-P23)/M23*Q23-R23)))</x:f>
      </x:c>
      <x:c r="W23" s="197" t="str">
        <x:f>IF(OR(V23="",S23="",S23=0),"",V23/S23)</x:f>
      </x:c>
      <x:c r="X23" s="198" t="str">
        <x:f>IF(V23="","",IF(V23&gt;0,"Win",IF(V23&lt;0,"Loss","BE")))</x:f>
      </x:c>
      <x:c r="Y23" s="194"/>
      <x:c r="Z23" s="194"/>
      <x:c r="AA23" s="194"/>
      <x:c r="AB23" s="194"/>
      <x:c r="AC23" s="194"/>
      <x:c r="AD23" s="196" t="str">
        <x:f>IF(A23="","",SUM($V$4:V23))</x:f>
      </x:c>
      <x:c r="AE23" s="196" t="str">
        <x:f>IF(AD23="","",MAX(0,$AD$4:AD23))</x:f>
      </x:c>
      <x:c r="AF23" s="199" t="str">
        <x:f>IF(AD23="","",AD23-AE23)</x:f>
      </x:c>
    </x:row>
    <x:row r="24">
      <x:c r="A24" s="192"/>
      <x:c r="B24" s="193"/>
      <x:c r="C24" s="193"/>
      <x:c r="D24" s="194"/>
      <x:c r="E24" s="194"/>
      <x:c r="F24" s="194"/>
      <x:c r="G24" s="194"/>
      <x:c r="H24" s="194"/>
      <x:c r="I24" s="194"/>
      <x:c r="J24" s="194"/>
      <x:c r="K24" s="194"/>
      <x:c r="L24" s="194"/>
      <x:c r="M24" s="195"/>
      <x:c r="N24" s="195"/>
      <x:c r="O24" s="195"/>
      <x:c r="P24" s="195"/>
      <x:c r="Q24" s="195"/>
      <x:c r="R24" s="195"/>
      <x:c r="S24" s="196" t="str">
        <x:f>IF(OR(M24="",N24="",Q24="",M24=0),"",ABS((M24-N24)/M24*Q24))</x:f>
      </x:c>
      <x:c r="T24" s="196" t="str">
        <x:f>IF(OR(M24="",N24="",O24="",M24=N24),"",ABS((O24-M24)/(M24-N24)))</x:f>
      </x:c>
      <x:c r="U24" s="195"/>
      <x:c r="V24" s="196" t="str">
        <x:f>IF(U24&lt;&gt;"",U24,IF(OR(P24="",M24="",Q24="",E24=""),"",IF(E24="做多",(P24-M24)/M24*Q24-R24,(M24-P24)/M24*Q24-R24)))</x:f>
      </x:c>
      <x:c r="W24" s="197" t="str">
        <x:f>IF(OR(V24="",S24="",S24=0),"",V24/S24)</x:f>
      </x:c>
      <x:c r="X24" s="198" t="str">
        <x:f>IF(V24="","",IF(V24&gt;0,"Win",IF(V24&lt;0,"Loss","BE")))</x:f>
      </x:c>
      <x:c r="Y24" s="194"/>
      <x:c r="Z24" s="194"/>
      <x:c r="AA24" s="194"/>
      <x:c r="AB24" s="194"/>
      <x:c r="AC24" s="194"/>
      <x:c r="AD24" s="196" t="str">
        <x:f>IF(A24="","",SUM($V$4:V24))</x:f>
      </x:c>
      <x:c r="AE24" s="196" t="str">
        <x:f>IF(AD24="","",MAX(0,$AD$4:AD24))</x:f>
      </x:c>
      <x:c r="AF24" s="199" t="str">
        <x:f>IF(AD24="","",AD24-AE24)</x:f>
      </x:c>
    </x:row>
    <x:row r="25">
      <x:c r="A25" s="192"/>
      <x:c r="B25" s="193"/>
      <x:c r="C25" s="193"/>
      <x:c r="D25" s="194"/>
      <x:c r="E25" s="194"/>
      <x:c r="F25" s="194"/>
      <x:c r="G25" s="194"/>
      <x:c r="H25" s="194"/>
      <x:c r="I25" s="194"/>
      <x:c r="J25" s="194"/>
      <x:c r="K25" s="194"/>
      <x:c r="L25" s="194"/>
      <x:c r="M25" s="195"/>
      <x:c r="N25" s="195"/>
      <x:c r="O25" s="195"/>
      <x:c r="P25" s="195"/>
      <x:c r="Q25" s="195"/>
      <x:c r="R25" s="195"/>
      <x:c r="S25" s="196" t="str">
        <x:f>IF(OR(M25="",N25="",Q25="",M25=0),"",ABS((M25-N25)/M25*Q25))</x:f>
      </x:c>
      <x:c r="T25" s="196" t="str">
        <x:f>IF(OR(M25="",N25="",O25="",M25=N25),"",ABS((O25-M25)/(M25-N25)))</x:f>
      </x:c>
      <x:c r="U25" s="195"/>
      <x:c r="V25" s="196" t="str">
        <x:f>IF(U25&lt;&gt;"",U25,IF(OR(P25="",M25="",Q25="",E25=""),"",IF(E25="做多",(P25-M25)/M25*Q25-R25,(M25-P25)/M25*Q25-R25)))</x:f>
      </x:c>
      <x:c r="W25" s="197" t="str">
        <x:f>IF(OR(V25="",S25="",S25=0),"",V25/S25)</x:f>
      </x:c>
      <x:c r="X25" s="198" t="str">
        <x:f>IF(V25="","",IF(V25&gt;0,"Win",IF(V25&lt;0,"Loss","BE")))</x:f>
      </x:c>
      <x:c r="Y25" s="194"/>
      <x:c r="Z25" s="194"/>
      <x:c r="AA25" s="194"/>
      <x:c r="AB25" s="194"/>
      <x:c r="AC25" s="194"/>
      <x:c r="AD25" s="196" t="str">
        <x:f>IF(A25="","",SUM($V$4:V25))</x:f>
      </x:c>
      <x:c r="AE25" s="196" t="str">
        <x:f>IF(AD25="","",MAX(0,$AD$4:AD25))</x:f>
      </x:c>
      <x:c r="AF25" s="199" t="str">
        <x:f>IF(AD25="","",AD25-AE25)</x:f>
      </x:c>
    </x:row>
    <x:row r="26">
      <x:c r="A26" s="192"/>
      <x:c r="B26" s="193"/>
      <x:c r="C26" s="193"/>
      <x:c r="D26" s="194"/>
      <x:c r="E26" s="194"/>
      <x:c r="F26" s="194"/>
      <x:c r="G26" s="194"/>
      <x:c r="H26" s="194"/>
      <x:c r="I26" s="194"/>
      <x:c r="J26" s="194"/>
      <x:c r="K26" s="194"/>
      <x:c r="L26" s="194"/>
      <x:c r="M26" s="195"/>
      <x:c r="N26" s="195"/>
      <x:c r="O26" s="195"/>
      <x:c r="P26" s="195"/>
      <x:c r="Q26" s="195"/>
      <x:c r="R26" s="195"/>
      <x:c r="S26" s="196" t="str">
        <x:f>IF(OR(M26="",N26="",Q26="",M26=0),"",ABS((M26-N26)/M26*Q26))</x:f>
      </x:c>
      <x:c r="T26" s="196" t="str">
        <x:f>IF(OR(M26="",N26="",O26="",M26=N26),"",ABS((O26-M26)/(M26-N26)))</x:f>
      </x:c>
      <x:c r="U26" s="195"/>
      <x:c r="V26" s="196" t="str">
        <x:f>IF(U26&lt;&gt;"",U26,IF(OR(P26="",M26="",Q26="",E26=""),"",IF(E26="做多",(P26-M26)/M26*Q26-R26,(M26-P26)/M26*Q26-R26)))</x:f>
      </x:c>
      <x:c r="W26" s="197" t="str">
        <x:f>IF(OR(V26="",S26="",S26=0),"",V26/S26)</x:f>
      </x:c>
      <x:c r="X26" s="198" t="str">
        <x:f>IF(V26="","",IF(V26&gt;0,"Win",IF(V26&lt;0,"Loss","BE")))</x:f>
      </x:c>
      <x:c r="Y26" s="194"/>
      <x:c r="Z26" s="194"/>
      <x:c r="AA26" s="194"/>
      <x:c r="AB26" s="194"/>
      <x:c r="AC26" s="194"/>
      <x:c r="AD26" s="196" t="str">
        <x:f>IF(A26="","",SUM($V$4:V26))</x:f>
      </x:c>
      <x:c r="AE26" s="196" t="str">
        <x:f>IF(AD26="","",MAX(0,$AD$4:AD26))</x:f>
      </x:c>
      <x:c r="AF26" s="199" t="str">
        <x:f>IF(AD26="","",AD26-AE26)</x:f>
      </x:c>
    </x:row>
    <x:row r="27">
      <x:c r="A27" s="192"/>
      <x:c r="B27" s="193"/>
      <x:c r="C27" s="193"/>
      <x:c r="D27" s="194"/>
      <x:c r="E27" s="194"/>
      <x:c r="F27" s="194"/>
      <x:c r="G27" s="194"/>
      <x:c r="H27" s="194"/>
      <x:c r="I27" s="194"/>
      <x:c r="J27" s="194"/>
      <x:c r="K27" s="194"/>
      <x:c r="L27" s="194"/>
      <x:c r="M27" s="195"/>
      <x:c r="N27" s="195"/>
      <x:c r="O27" s="195"/>
      <x:c r="P27" s="195"/>
      <x:c r="Q27" s="195"/>
      <x:c r="R27" s="195"/>
      <x:c r="S27" s="196" t="str">
        <x:f>IF(OR(M27="",N27="",Q27="",M27=0),"",ABS((M27-N27)/M27*Q27))</x:f>
      </x:c>
      <x:c r="T27" s="196" t="str">
        <x:f>IF(OR(M27="",N27="",O27="",M27=N27),"",ABS((O27-M27)/(M27-N27)))</x:f>
      </x:c>
      <x:c r="U27" s="195"/>
      <x:c r="V27" s="196" t="str">
        <x:f>IF(U27&lt;&gt;"",U27,IF(OR(P27="",M27="",Q27="",E27=""),"",IF(E27="做多",(P27-M27)/M27*Q27-R27,(M27-P27)/M27*Q27-R27)))</x:f>
      </x:c>
      <x:c r="W27" s="197" t="str">
        <x:f>IF(OR(V27="",S27="",S27=0),"",V27/S27)</x:f>
      </x:c>
      <x:c r="X27" s="198" t="str">
        <x:f>IF(V27="","",IF(V27&gt;0,"Win",IF(V27&lt;0,"Loss","BE")))</x:f>
      </x:c>
      <x:c r="Y27" s="194"/>
      <x:c r="Z27" s="194"/>
      <x:c r="AA27" s="194"/>
      <x:c r="AB27" s="194"/>
      <x:c r="AC27" s="194"/>
      <x:c r="AD27" s="196" t="str">
        <x:f>IF(A27="","",SUM($V$4:V27))</x:f>
      </x:c>
      <x:c r="AE27" s="196" t="str">
        <x:f>IF(AD27="","",MAX(0,$AD$4:AD27))</x:f>
      </x:c>
      <x:c r="AF27" s="199" t="str">
        <x:f>IF(AD27="","",AD27-AE27)</x:f>
      </x:c>
    </x:row>
    <x:row r="28">
      <x:c r="A28" s="192"/>
      <x:c r="B28" s="193"/>
      <x:c r="C28" s="193"/>
      <x:c r="D28" s="194"/>
      <x:c r="E28" s="194"/>
      <x:c r="F28" s="194"/>
      <x:c r="G28" s="194"/>
      <x:c r="H28" s="194"/>
      <x:c r="I28" s="194"/>
      <x:c r="J28" s="194"/>
      <x:c r="K28" s="194"/>
      <x:c r="L28" s="194"/>
      <x:c r="M28" s="195"/>
      <x:c r="N28" s="195"/>
      <x:c r="O28" s="195"/>
      <x:c r="P28" s="195"/>
      <x:c r="Q28" s="195"/>
      <x:c r="R28" s="195"/>
      <x:c r="S28" s="196" t="str">
        <x:f>IF(OR(M28="",N28="",Q28="",M28=0),"",ABS((M28-N28)/M28*Q28))</x:f>
      </x:c>
      <x:c r="T28" s="196" t="str">
        <x:f>IF(OR(M28="",N28="",O28="",M28=N28),"",ABS((O28-M28)/(M28-N28)))</x:f>
      </x:c>
      <x:c r="U28" s="195"/>
      <x:c r="V28" s="196" t="str">
        <x:f>IF(U28&lt;&gt;"",U28,IF(OR(P28="",M28="",Q28="",E28=""),"",IF(E28="做多",(P28-M28)/M28*Q28-R28,(M28-P28)/M28*Q28-R28)))</x:f>
      </x:c>
      <x:c r="W28" s="197" t="str">
        <x:f>IF(OR(V28="",S28="",S28=0),"",V28/S28)</x:f>
      </x:c>
      <x:c r="X28" s="198" t="str">
        <x:f>IF(V28="","",IF(V28&gt;0,"Win",IF(V28&lt;0,"Loss","BE")))</x:f>
      </x:c>
      <x:c r="Y28" s="194"/>
      <x:c r="Z28" s="194"/>
      <x:c r="AA28" s="194"/>
      <x:c r="AB28" s="194"/>
      <x:c r="AC28" s="194"/>
      <x:c r="AD28" s="196" t="str">
        <x:f>IF(A28="","",SUM($V$4:V28))</x:f>
      </x:c>
      <x:c r="AE28" s="196" t="str">
        <x:f>IF(AD28="","",MAX(0,$AD$4:AD28))</x:f>
      </x:c>
      <x:c r="AF28" s="199" t="str">
        <x:f>IF(AD28="","",AD28-AE28)</x:f>
      </x:c>
    </x:row>
    <x:row r="29">
      <x:c r="A29" s="192"/>
      <x:c r="B29" s="193"/>
      <x:c r="C29" s="193"/>
      <x:c r="D29" s="194"/>
      <x:c r="E29" s="194"/>
      <x:c r="F29" s="194"/>
      <x:c r="G29" s="194"/>
      <x:c r="H29" s="194"/>
      <x:c r="I29" s="194"/>
      <x:c r="J29" s="194"/>
      <x:c r="K29" s="194"/>
      <x:c r="L29" s="194"/>
      <x:c r="M29" s="195"/>
      <x:c r="N29" s="195"/>
      <x:c r="O29" s="195"/>
      <x:c r="P29" s="195"/>
      <x:c r="Q29" s="195"/>
      <x:c r="R29" s="195"/>
      <x:c r="S29" s="196" t="str">
        <x:f>IF(OR(M29="",N29="",Q29="",M29=0),"",ABS((M29-N29)/M29*Q29))</x:f>
      </x:c>
      <x:c r="T29" s="196" t="str">
        <x:f>IF(OR(M29="",N29="",O29="",M29=N29),"",ABS((O29-M29)/(M29-N29)))</x:f>
      </x:c>
      <x:c r="U29" s="195"/>
      <x:c r="V29" s="196" t="str">
        <x:f>IF(U29&lt;&gt;"",U29,IF(OR(P29="",M29="",Q29="",E29=""),"",IF(E29="做多",(P29-M29)/M29*Q29-R29,(M29-P29)/M29*Q29-R29)))</x:f>
      </x:c>
      <x:c r="W29" s="197" t="str">
        <x:f>IF(OR(V29="",S29="",S29=0),"",V29/S29)</x:f>
      </x:c>
      <x:c r="X29" s="198" t="str">
        <x:f>IF(V29="","",IF(V29&gt;0,"Win",IF(V29&lt;0,"Loss","BE")))</x:f>
      </x:c>
      <x:c r="Y29" s="194"/>
      <x:c r="Z29" s="194"/>
      <x:c r="AA29" s="194"/>
      <x:c r="AB29" s="194"/>
      <x:c r="AC29" s="194"/>
      <x:c r="AD29" s="196" t="str">
        <x:f>IF(A29="","",SUM($V$4:V29))</x:f>
      </x:c>
      <x:c r="AE29" s="196" t="str">
        <x:f>IF(AD29="","",MAX(0,$AD$4:AD29))</x:f>
      </x:c>
      <x:c r="AF29" s="199" t="str">
        <x:f>IF(AD29="","",AD29-AE29)</x:f>
      </x:c>
    </x:row>
    <x:row r="30">
      <x:c r="A30" s="192"/>
      <x:c r="B30" s="193"/>
      <x:c r="C30" s="193"/>
      <x:c r="D30" s="194"/>
      <x:c r="E30" s="194"/>
      <x:c r="F30" s="194"/>
      <x:c r="G30" s="194"/>
      <x:c r="H30" s="194"/>
      <x:c r="I30" s="194"/>
      <x:c r="J30" s="194"/>
      <x:c r="K30" s="194"/>
      <x:c r="L30" s="194"/>
      <x:c r="M30" s="195"/>
      <x:c r="N30" s="195"/>
      <x:c r="O30" s="195"/>
      <x:c r="P30" s="195"/>
      <x:c r="Q30" s="195"/>
      <x:c r="R30" s="195"/>
      <x:c r="S30" s="196" t="str">
        <x:f>IF(OR(M30="",N30="",Q30="",M30=0),"",ABS((M30-N30)/M30*Q30))</x:f>
      </x:c>
      <x:c r="T30" s="196" t="str">
        <x:f>IF(OR(M30="",N30="",O30="",M30=N30),"",ABS((O30-M30)/(M30-N30)))</x:f>
      </x:c>
      <x:c r="U30" s="195"/>
      <x:c r="V30" s="196" t="str">
        <x:f>IF(U30&lt;&gt;"",U30,IF(OR(P30="",M30="",Q30="",E30=""),"",IF(E30="做多",(P30-M30)/M30*Q30-R30,(M30-P30)/M30*Q30-R30)))</x:f>
      </x:c>
      <x:c r="W30" s="197" t="str">
        <x:f>IF(OR(V30="",S30="",S30=0),"",V30/S30)</x:f>
      </x:c>
      <x:c r="X30" s="198" t="str">
        <x:f>IF(V30="","",IF(V30&gt;0,"Win",IF(V30&lt;0,"Loss","BE")))</x:f>
      </x:c>
      <x:c r="Y30" s="194"/>
      <x:c r="Z30" s="194"/>
      <x:c r="AA30" s="194"/>
      <x:c r="AB30" s="194"/>
      <x:c r="AC30" s="194"/>
      <x:c r="AD30" s="196" t="str">
        <x:f>IF(A30="","",SUM($V$4:V30))</x:f>
      </x:c>
      <x:c r="AE30" s="196" t="str">
        <x:f>IF(AD30="","",MAX(0,$AD$4:AD30))</x:f>
      </x:c>
      <x:c r="AF30" s="199" t="str">
        <x:f>IF(AD30="","",AD30-AE30)</x:f>
      </x:c>
    </x:row>
    <x:row r="31">
      <x:c r="A31" s="192"/>
      <x:c r="B31" s="193"/>
      <x:c r="C31" s="193"/>
      <x:c r="D31" s="194"/>
      <x:c r="E31" s="194"/>
      <x:c r="F31" s="194"/>
      <x:c r="G31" s="194"/>
      <x:c r="H31" s="194"/>
      <x:c r="I31" s="194"/>
      <x:c r="J31" s="194"/>
      <x:c r="K31" s="194"/>
      <x:c r="L31" s="194"/>
      <x:c r="M31" s="195"/>
      <x:c r="N31" s="195"/>
      <x:c r="O31" s="195"/>
      <x:c r="P31" s="195"/>
      <x:c r="Q31" s="195"/>
      <x:c r="R31" s="195"/>
      <x:c r="S31" s="196" t="str">
        <x:f>IF(OR(M31="",N31="",Q31="",M31=0),"",ABS((M31-N31)/M31*Q31))</x:f>
      </x:c>
      <x:c r="T31" s="196" t="str">
        <x:f>IF(OR(M31="",N31="",O31="",M31=N31),"",ABS((O31-M31)/(M31-N31)))</x:f>
      </x:c>
      <x:c r="U31" s="195"/>
      <x:c r="V31" s="196" t="str">
        <x:f>IF(U31&lt;&gt;"",U31,IF(OR(P31="",M31="",Q31="",E31=""),"",IF(E31="做多",(P31-M31)/M31*Q31-R31,(M31-P31)/M31*Q31-R31)))</x:f>
      </x:c>
      <x:c r="W31" s="197" t="str">
        <x:f>IF(OR(V31="",S31="",S31=0),"",V31/S31)</x:f>
      </x:c>
      <x:c r="X31" s="198" t="str">
        <x:f>IF(V31="","",IF(V31&gt;0,"Win",IF(V31&lt;0,"Loss","BE")))</x:f>
      </x:c>
      <x:c r="Y31" s="194"/>
      <x:c r="Z31" s="194"/>
      <x:c r="AA31" s="194"/>
      <x:c r="AB31" s="194"/>
      <x:c r="AC31" s="194"/>
      <x:c r="AD31" s="196" t="str">
        <x:f>IF(A31="","",SUM($V$4:V31))</x:f>
      </x:c>
      <x:c r="AE31" s="196" t="str">
        <x:f>IF(AD31="","",MAX(0,$AD$4:AD31))</x:f>
      </x:c>
      <x:c r="AF31" s="199" t="str">
        <x:f>IF(AD31="","",AD31-AE31)</x:f>
      </x:c>
    </x:row>
    <x:row r="32">
      <x:c r="A32" s="192"/>
      <x:c r="B32" s="193"/>
      <x:c r="C32" s="193"/>
      <x:c r="D32" s="194"/>
      <x:c r="E32" s="194"/>
      <x:c r="F32" s="194"/>
      <x:c r="G32" s="194"/>
      <x:c r="H32" s="194"/>
      <x:c r="I32" s="194"/>
      <x:c r="J32" s="194"/>
      <x:c r="K32" s="194"/>
      <x:c r="L32" s="194"/>
      <x:c r="M32" s="195"/>
      <x:c r="N32" s="195"/>
      <x:c r="O32" s="195"/>
      <x:c r="P32" s="195"/>
      <x:c r="Q32" s="195"/>
      <x:c r="R32" s="195"/>
      <x:c r="S32" s="196" t="str">
        <x:f>IF(OR(M32="",N32="",Q32="",M32=0),"",ABS((M32-N32)/M32*Q32))</x:f>
      </x:c>
      <x:c r="T32" s="196" t="str">
        <x:f>IF(OR(M32="",N32="",O32="",M32=N32),"",ABS((O32-M32)/(M32-N32)))</x:f>
      </x:c>
      <x:c r="U32" s="195"/>
      <x:c r="V32" s="196" t="str">
        <x:f>IF(U32&lt;&gt;"",U32,IF(OR(P32="",M32="",Q32="",E32=""),"",IF(E32="做多",(P32-M32)/M32*Q32-R32,(M32-P32)/M32*Q32-R32)))</x:f>
      </x:c>
      <x:c r="W32" s="197" t="str">
        <x:f>IF(OR(V32="",S32="",S32=0),"",V32/S32)</x:f>
      </x:c>
      <x:c r="X32" s="198" t="str">
        <x:f>IF(V32="","",IF(V32&gt;0,"Win",IF(V32&lt;0,"Loss","BE")))</x:f>
      </x:c>
      <x:c r="Y32" s="194"/>
      <x:c r="Z32" s="194"/>
      <x:c r="AA32" s="194"/>
      <x:c r="AB32" s="194"/>
      <x:c r="AC32" s="194"/>
      <x:c r="AD32" s="196" t="str">
        <x:f>IF(A32="","",SUM($V$4:V32))</x:f>
      </x:c>
      <x:c r="AE32" s="196" t="str">
        <x:f>IF(AD32="","",MAX(0,$AD$4:AD32))</x:f>
      </x:c>
      <x:c r="AF32" s="199" t="str">
        <x:f>IF(AD32="","",AD32-AE32)</x:f>
      </x:c>
    </x:row>
    <x:row r="33">
      <x:c r="A33" s="192"/>
      <x:c r="B33" s="193"/>
      <x:c r="C33" s="193"/>
      <x:c r="D33" s="194"/>
      <x:c r="E33" s="194"/>
      <x:c r="F33" s="194"/>
      <x:c r="G33" s="194"/>
      <x:c r="H33" s="194"/>
      <x:c r="I33" s="194"/>
      <x:c r="J33" s="194"/>
      <x:c r="K33" s="194"/>
      <x:c r="L33" s="194"/>
      <x:c r="M33" s="195"/>
      <x:c r="N33" s="195"/>
      <x:c r="O33" s="195"/>
      <x:c r="P33" s="195"/>
      <x:c r="Q33" s="195"/>
      <x:c r="R33" s="195"/>
      <x:c r="S33" s="196" t="str">
        <x:f>IF(OR(M33="",N33="",Q33="",M33=0),"",ABS((M33-N33)/M33*Q33))</x:f>
      </x:c>
      <x:c r="T33" s="196" t="str">
        <x:f>IF(OR(M33="",N33="",O33="",M33=N33),"",ABS((O33-M33)/(M33-N33)))</x:f>
      </x:c>
      <x:c r="U33" s="195"/>
      <x:c r="V33" s="196" t="str">
        <x:f>IF(U33&lt;&gt;"",U33,IF(OR(P33="",M33="",Q33="",E33=""),"",IF(E33="做多",(P33-M33)/M33*Q33-R33,(M33-P33)/M33*Q33-R33)))</x:f>
      </x:c>
      <x:c r="W33" s="197" t="str">
        <x:f>IF(OR(V33="",S33="",S33=0),"",V33/S33)</x:f>
      </x:c>
      <x:c r="X33" s="198" t="str">
        <x:f>IF(V33="","",IF(V33&gt;0,"Win",IF(V33&lt;0,"Loss","BE")))</x:f>
      </x:c>
      <x:c r="Y33" s="194"/>
      <x:c r="Z33" s="194"/>
      <x:c r="AA33" s="194"/>
      <x:c r="AB33" s="194"/>
      <x:c r="AC33" s="194"/>
      <x:c r="AD33" s="196" t="str">
        <x:f>IF(A33="","",SUM($V$4:V33))</x:f>
      </x:c>
      <x:c r="AE33" s="196" t="str">
        <x:f>IF(AD33="","",MAX(0,$AD$4:AD33))</x:f>
      </x:c>
      <x:c r="AF33" s="199" t="str">
        <x:f>IF(AD33="","",AD33-AE33)</x:f>
      </x:c>
    </x:row>
    <x:row r="34">
      <x:c r="A34" s="192"/>
      <x:c r="B34" s="193"/>
      <x:c r="C34" s="193"/>
      <x:c r="D34" s="194"/>
      <x:c r="E34" s="194"/>
      <x:c r="F34" s="194"/>
      <x:c r="G34" s="194"/>
      <x:c r="H34" s="194"/>
      <x:c r="I34" s="194"/>
      <x:c r="J34" s="194"/>
      <x:c r="K34" s="194"/>
      <x:c r="L34" s="194"/>
      <x:c r="M34" s="195"/>
      <x:c r="N34" s="195"/>
      <x:c r="O34" s="195"/>
      <x:c r="P34" s="195"/>
      <x:c r="Q34" s="195"/>
      <x:c r="R34" s="195"/>
      <x:c r="S34" s="196" t="str">
        <x:f>IF(OR(M34="",N34="",Q34="",M34=0),"",ABS((M34-N34)/M34*Q34))</x:f>
      </x:c>
      <x:c r="T34" s="196" t="str">
        <x:f>IF(OR(M34="",N34="",O34="",M34=N34),"",ABS((O34-M34)/(M34-N34)))</x:f>
      </x:c>
      <x:c r="U34" s="195"/>
      <x:c r="V34" s="196" t="str">
        <x:f>IF(U34&lt;&gt;"",U34,IF(OR(P34="",M34="",Q34="",E34=""),"",IF(E34="做多",(P34-M34)/M34*Q34-R34,(M34-P34)/M34*Q34-R34)))</x:f>
      </x:c>
      <x:c r="W34" s="197" t="str">
        <x:f>IF(OR(V34="",S34="",S34=0),"",V34/S34)</x:f>
      </x:c>
      <x:c r="X34" s="198" t="str">
        <x:f>IF(V34="","",IF(V34&gt;0,"Win",IF(V34&lt;0,"Loss","BE")))</x:f>
      </x:c>
      <x:c r="Y34" s="194"/>
      <x:c r="Z34" s="194"/>
      <x:c r="AA34" s="194"/>
      <x:c r="AB34" s="194"/>
      <x:c r="AC34" s="194"/>
      <x:c r="AD34" s="196" t="str">
        <x:f>IF(A34="","",SUM($V$4:V34))</x:f>
      </x:c>
      <x:c r="AE34" s="196" t="str">
        <x:f>IF(AD34="","",MAX(0,$AD$4:AD34))</x:f>
      </x:c>
      <x:c r="AF34" s="199" t="str">
        <x:f>IF(AD34="","",AD34-AE34)</x:f>
      </x:c>
    </x:row>
    <x:row r="35">
      <x:c r="A35" s="192"/>
      <x:c r="B35" s="193"/>
      <x:c r="C35" s="193"/>
      <x:c r="D35" s="194"/>
      <x:c r="E35" s="194"/>
      <x:c r="F35" s="194"/>
      <x:c r="G35" s="194"/>
      <x:c r="H35" s="194"/>
      <x:c r="I35" s="194"/>
      <x:c r="J35" s="194"/>
      <x:c r="K35" s="194"/>
      <x:c r="L35" s="194"/>
      <x:c r="M35" s="195"/>
      <x:c r="N35" s="195"/>
      <x:c r="O35" s="195"/>
      <x:c r="P35" s="195"/>
      <x:c r="Q35" s="195"/>
      <x:c r="R35" s="195"/>
      <x:c r="S35" s="196" t="str">
        <x:f>IF(OR(M35="",N35="",Q35="",M35=0),"",ABS((M35-N35)/M35*Q35))</x:f>
      </x:c>
      <x:c r="T35" s="196" t="str">
        <x:f>IF(OR(M35="",N35="",O35="",M35=N35),"",ABS((O35-M35)/(M35-N35)))</x:f>
      </x:c>
      <x:c r="U35" s="195"/>
      <x:c r="V35" s="196" t="str">
        <x:f>IF(U35&lt;&gt;"",U35,IF(OR(P35="",M35="",Q35="",E35=""),"",IF(E35="做多",(P35-M35)/M35*Q35-R35,(M35-P35)/M35*Q35-R35)))</x:f>
      </x:c>
      <x:c r="W35" s="197" t="str">
        <x:f>IF(OR(V35="",S35="",S35=0),"",V35/S35)</x:f>
      </x:c>
      <x:c r="X35" s="198" t="str">
        <x:f>IF(V35="","",IF(V35&gt;0,"Win",IF(V35&lt;0,"Loss","BE")))</x:f>
      </x:c>
      <x:c r="Y35" s="194"/>
      <x:c r="Z35" s="194"/>
      <x:c r="AA35" s="194"/>
      <x:c r="AB35" s="194"/>
      <x:c r="AC35" s="194"/>
      <x:c r="AD35" s="196" t="str">
        <x:f>IF(A35="","",SUM($V$4:V35))</x:f>
      </x:c>
      <x:c r="AE35" s="196" t="str">
        <x:f>IF(AD35="","",MAX(0,$AD$4:AD35))</x:f>
      </x:c>
      <x:c r="AF35" s="199" t="str">
        <x:f>IF(AD35="","",AD35-AE35)</x:f>
      </x:c>
    </x:row>
    <x:row r="36">
      <x:c r="A36" s="192"/>
      <x:c r="B36" s="193"/>
      <x:c r="C36" s="193"/>
      <x:c r="D36" s="194"/>
      <x:c r="E36" s="194"/>
      <x:c r="F36" s="194"/>
      <x:c r="G36" s="194"/>
      <x:c r="H36" s="194"/>
      <x:c r="I36" s="194"/>
      <x:c r="J36" s="194"/>
      <x:c r="K36" s="194"/>
      <x:c r="L36" s="194"/>
      <x:c r="M36" s="195"/>
      <x:c r="N36" s="195"/>
      <x:c r="O36" s="195"/>
      <x:c r="P36" s="195"/>
      <x:c r="Q36" s="195"/>
      <x:c r="R36" s="195"/>
      <x:c r="S36" s="196" t="str">
        <x:f>IF(OR(M36="",N36="",Q36="",M36=0),"",ABS((M36-N36)/M36*Q36))</x:f>
      </x:c>
      <x:c r="T36" s="196" t="str">
        <x:f>IF(OR(M36="",N36="",O36="",M36=N36),"",ABS((O36-M36)/(M36-N36)))</x:f>
      </x:c>
      <x:c r="U36" s="195"/>
      <x:c r="V36" s="196" t="str">
        <x:f>IF(U36&lt;&gt;"",U36,IF(OR(P36="",M36="",Q36="",E36=""),"",IF(E36="做多",(P36-M36)/M36*Q36-R36,(M36-P36)/M36*Q36-R36)))</x:f>
      </x:c>
      <x:c r="W36" s="197" t="str">
        <x:f>IF(OR(V36="",S36="",S36=0),"",V36/S36)</x:f>
      </x:c>
      <x:c r="X36" s="198" t="str">
        <x:f>IF(V36="","",IF(V36&gt;0,"Win",IF(V36&lt;0,"Loss","BE")))</x:f>
      </x:c>
      <x:c r="Y36" s="194"/>
      <x:c r="Z36" s="194"/>
      <x:c r="AA36" s="194"/>
      <x:c r="AB36" s="194"/>
      <x:c r="AC36" s="194"/>
      <x:c r="AD36" s="196" t="str">
        <x:f>IF(A36="","",SUM($V$4:V36))</x:f>
      </x:c>
      <x:c r="AE36" s="196" t="str">
        <x:f>IF(AD36="","",MAX(0,$AD$4:AD36))</x:f>
      </x:c>
      <x:c r="AF36" s="199" t="str">
        <x:f>IF(AD36="","",AD36-AE36)</x:f>
      </x:c>
    </x:row>
    <x:row r="37">
      <x:c r="A37" s="192"/>
      <x:c r="B37" s="193"/>
      <x:c r="C37" s="193"/>
      <x:c r="D37" s="194"/>
      <x:c r="E37" s="194"/>
      <x:c r="F37" s="194"/>
      <x:c r="G37" s="194"/>
      <x:c r="H37" s="194"/>
      <x:c r="I37" s="194"/>
      <x:c r="J37" s="194"/>
      <x:c r="K37" s="194"/>
      <x:c r="L37" s="194"/>
      <x:c r="M37" s="195"/>
      <x:c r="N37" s="195"/>
      <x:c r="O37" s="195"/>
      <x:c r="P37" s="195"/>
      <x:c r="Q37" s="195"/>
      <x:c r="R37" s="195"/>
      <x:c r="S37" s="196" t="str">
        <x:f>IF(OR(M37="",N37="",Q37="",M37=0),"",ABS((M37-N37)/M37*Q37))</x:f>
      </x:c>
      <x:c r="T37" s="196" t="str">
        <x:f>IF(OR(M37="",N37="",O37="",M37=N37),"",ABS((O37-M37)/(M37-N37)))</x:f>
      </x:c>
      <x:c r="U37" s="195"/>
      <x:c r="V37" s="196" t="str">
        <x:f>IF(U37&lt;&gt;"",U37,IF(OR(P37="",M37="",Q37="",E37=""),"",IF(E37="做多",(P37-M37)/M37*Q37-R37,(M37-P37)/M37*Q37-R37)))</x:f>
      </x:c>
      <x:c r="W37" s="197" t="str">
        <x:f>IF(OR(V37="",S37="",S37=0),"",V37/S37)</x:f>
      </x:c>
      <x:c r="X37" s="198" t="str">
        <x:f>IF(V37="","",IF(V37&gt;0,"Win",IF(V37&lt;0,"Loss","BE")))</x:f>
      </x:c>
      <x:c r="Y37" s="194"/>
      <x:c r="Z37" s="194"/>
      <x:c r="AA37" s="194"/>
      <x:c r="AB37" s="194"/>
      <x:c r="AC37" s="194"/>
      <x:c r="AD37" s="196" t="str">
        <x:f>IF(A37="","",SUM($V$4:V37))</x:f>
      </x:c>
      <x:c r="AE37" s="196" t="str">
        <x:f>IF(AD37="","",MAX(0,$AD$4:AD37))</x:f>
      </x:c>
      <x:c r="AF37" s="199" t="str">
        <x:f>IF(AD37="","",AD37-AE37)</x:f>
      </x:c>
    </x:row>
    <x:row r="38">
      <x:c r="A38" s="192"/>
      <x:c r="B38" s="193"/>
      <x:c r="C38" s="193"/>
      <x:c r="D38" s="194"/>
      <x:c r="E38" s="194"/>
      <x:c r="F38" s="194"/>
      <x:c r="G38" s="194"/>
      <x:c r="H38" s="194"/>
      <x:c r="I38" s="194"/>
      <x:c r="J38" s="194"/>
      <x:c r="K38" s="194"/>
      <x:c r="L38" s="194"/>
      <x:c r="M38" s="195"/>
      <x:c r="N38" s="195"/>
      <x:c r="O38" s="195"/>
      <x:c r="P38" s="195"/>
      <x:c r="Q38" s="195"/>
      <x:c r="R38" s="195"/>
      <x:c r="S38" s="196" t="str">
        <x:f>IF(OR(M38="",N38="",Q38="",M38=0),"",ABS((M38-N38)/M38*Q38))</x:f>
      </x:c>
      <x:c r="T38" s="196" t="str">
        <x:f>IF(OR(M38="",N38="",O38="",M38=N38),"",ABS((O38-M38)/(M38-N38)))</x:f>
      </x:c>
      <x:c r="U38" s="195"/>
      <x:c r="V38" s="196" t="str">
        <x:f>IF(U38&lt;&gt;"",U38,IF(OR(P38="",M38="",Q38="",E38=""),"",IF(E38="做多",(P38-M38)/M38*Q38-R38,(M38-P38)/M38*Q38-R38)))</x:f>
      </x:c>
      <x:c r="W38" s="197" t="str">
        <x:f>IF(OR(V38="",S38="",S38=0),"",V38/S38)</x:f>
      </x:c>
      <x:c r="X38" s="198" t="str">
        <x:f>IF(V38="","",IF(V38&gt;0,"Win",IF(V38&lt;0,"Loss","BE")))</x:f>
      </x:c>
      <x:c r="Y38" s="194"/>
      <x:c r="Z38" s="194"/>
      <x:c r="AA38" s="194"/>
      <x:c r="AB38" s="194"/>
      <x:c r="AC38" s="194"/>
      <x:c r="AD38" s="196" t="str">
        <x:f>IF(A38="","",SUM($V$4:V38))</x:f>
      </x:c>
      <x:c r="AE38" s="196" t="str">
        <x:f>IF(AD38="","",MAX(0,$AD$4:AD38))</x:f>
      </x:c>
      <x:c r="AF38" s="199" t="str">
        <x:f>IF(AD38="","",AD38-AE38)</x:f>
      </x:c>
    </x:row>
    <x:row r="39">
      <x:c r="A39" s="192"/>
      <x:c r="B39" s="193"/>
      <x:c r="C39" s="193"/>
      <x:c r="D39" s="194"/>
      <x:c r="E39" s="194"/>
      <x:c r="F39" s="194"/>
      <x:c r="G39" s="194"/>
      <x:c r="H39" s="194"/>
      <x:c r="I39" s="194"/>
      <x:c r="J39" s="194"/>
      <x:c r="K39" s="194"/>
      <x:c r="L39" s="194"/>
      <x:c r="M39" s="195"/>
      <x:c r="N39" s="195"/>
      <x:c r="O39" s="195"/>
      <x:c r="P39" s="195"/>
      <x:c r="Q39" s="195"/>
      <x:c r="R39" s="195"/>
      <x:c r="S39" s="196" t="str">
        <x:f>IF(OR(M39="",N39="",Q39="",M39=0),"",ABS((M39-N39)/M39*Q39))</x:f>
      </x:c>
      <x:c r="T39" s="196" t="str">
        <x:f>IF(OR(M39="",N39="",O39="",M39=N39),"",ABS((O39-M39)/(M39-N39)))</x:f>
      </x:c>
      <x:c r="U39" s="195"/>
      <x:c r="V39" s="196" t="str">
        <x:f>IF(U39&lt;&gt;"",U39,IF(OR(P39="",M39="",Q39="",E39=""),"",IF(E39="做多",(P39-M39)/M39*Q39-R39,(M39-P39)/M39*Q39-R39)))</x:f>
      </x:c>
      <x:c r="W39" s="197" t="str">
        <x:f>IF(OR(V39="",S39="",S39=0),"",V39/S39)</x:f>
      </x:c>
      <x:c r="X39" s="198" t="str">
        <x:f>IF(V39="","",IF(V39&gt;0,"Win",IF(V39&lt;0,"Loss","BE")))</x:f>
      </x:c>
      <x:c r="Y39" s="194"/>
      <x:c r="Z39" s="194"/>
      <x:c r="AA39" s="194"/>
      <x:c r="AB39" s="194"/>
      <x:c r="AC39" s="194"/>
      <x:c r="AD39" s="196" t="str">
        <x:f>IF(A39="","",SUM($V$4:V39))</x:f>
      </x:c>
      <x:c r="AE39" s="196" t="str">
        <x:f>IF(AD39="","",MAX(0,$AD$4:AD39))</x:f>
      </x:c>
      <x:c r="AF39" s="199" t="str">
        <x:f>IF(AD39="","",AD39-AE39)</x:f>
      </x:c>
    </x:row>
    <x:row r="40">
      <x:c r="A40" s="192"/>
      <x:c r="B40" s="193"/>
      <x:c r="C40" s="193"/>
      <x:c r="D40" s="194"/>
      <x:c r="E40" s="194"/>
      <x:c r="F40" s="194"/>
      <x:c r="G40" s="194"/>
      <x:c r="H40" s="194"/>
      <x:c r="I40" s="194"/>
      <x:c r="J40" s="194"/>
      <x:c r="K40" s="194"/>
      <x:c r="L40" s="194"/>
      <x:c r="M40" s="195"/>
      <x:c r="N40" s="195"/>
      <x:c r="O40" s="195"/>
      <x:c r="P40" s="195"/>
      <x:c r="Q40" s="195"/>
      <x:c r="R40" s="195"/>
      <x:c r="S40" s="196" t="str">
        <x:f>IF(OR(M40="",N40="",Q40="",M40=0),"",ABS((M40-N40)/M40*Q40))</x:f>
      </x:c>
      <x:c r="T40" s="196" t="str">
        <x:f>IF(OR(M40="",N40="",O40="",M40=N40),"",ABS((O40-M40)/(M40-N40)))</x:f>
      </x:c>
      <x:c r="U40" s="195"/>
      <x:c r="V40" s="196" t="str">
        <x:f>IF(U40&lt;&gt;"",U40,IF(OR(P40="",M40="",Q40="",E40=""),"",IF(E40="做多",(P40-M40)/M40*Q40-R40,(M40-P40)/M40*Q40-R40)))</x:f>
      </x:c>
      <x:c r="W40" s="197" t="str">
        <x:f>IF(OR(V40="",S40="",S40=0),"",V40/S40)</x:f>
      </x:c>
      <x:c r="X40" s="198" t="str">
        <x:f>IF(V40="","",IF(V40&gt;0,"Win",IF(V40&lt;0,"Loss","BE")))</x:f>
      </x:c>
      <x:c r="Y40" s="194"/>
      <x:c r="Z40" s="194"/>
      <x:c r="AA40" s="194"/>
      <x:c r="AB40" s="194"/>
      <x:c r="AC40" s="194"/>
      <x:c r="AD40" s="196" t="str">
        <x:f>IF(A40="","",SUM($V$4:V40))</x:f>
      </x:c>
      <x:c r="AE40" s="196" t="str">
        <x:f>IF(AD40="","",MAX(0,$AD$4:AD40))</x:f>
      </x:c>
      <x:c r="AF40" s="199" t="str">
        <x:f>IF(AD40="","",AD40-AE40)</x:f>
      </x:c>
    </x:row>
    <x:row r="41">
      <x:c r="A41" s="192"/>
      <x:c r="B41" s="193"/>
      <x:c r="C41" s="193"/>
      <x:c r="D41" s="194"/>
      <x:c r="E41" s="194"/>
      <x:c r="F41" s="194"/>
      <x:c r="G41" s="194"/>
      <x:c r="H41" s="194"/>
      <x:c r="I41" s="194"/>
      <x:c r="J41" s="194"/>
      <x:c r="K41" s="194"/>
      <x:c r="L41" s="194"/>
      <x:c r="M41" s="195"/>
      <x:c r="N41" s="195"/>
      <x:c r="O41" s="195"/>
      <x:c r="P41" s="195"/>
      <x:c r="Q41" s="195"/>
      <x:c r="R41" s="195"/>
      <x:c r="S41" s="196" t="str">
        <x:f>IF(OR(M41="",N41="",Q41="",M41=0),"",ABS((M41-N41)/M41*Q41))</x:f>
      </x:c>
      <x:c r="T41" s="196" t="str">
        <x:f>IF(OR(M41="",N41="",O41="",M41=N41),"",ABS((O41-M41)/(M41-N41)))</x:f>
      </x:c>
      <x:c r="U41" s="195"/>
      <x:c r="V41" s="196" t="str">
        <x:f>IF(U41&lt;&gt;"",U41,IF(OR(P41="",M41="",Q41="",E41=""),"",IF(E41="做多",(P41-M41)/M41*Q41-R41,(M41-P41)/M41*Q41-R41)))</x:f>
      </x:c>
      <x:c r="W41" s="197" t="str">
        <x:f>IF(OR(V41="",S41="",S41=0),"",V41/S41)</x:f>
      </x:c>
      <x:c r="X41" s="198" t="str">
        <x:f>IF(V41="","",IF(V41&gt;0,"Win",IF(V41&lt;0,"Loss","BE")))</x:f>
      </x:c>
      <x:c r="Y41" s="194"/>
      <x:c r="Z41" s="194"/>
      <x:c r="AA41" s="194"/>
      <x:c r="AB41" s="194"/>
      <x:c r="AC41" s="194"/>
      <x:c r="AD41" s="196" t="str">
        <x:f>IF(A41="","",SUM($V$4:V41))</x:f>
      </x:c>
      <x:c r="AE41" s="196" t="str">
        <x:f>IF(AD41="","",MAX(0,$AD$4:AD41))</x:f>
      </x:c>
      <x:c r="AF41" s="199" t="str">
        <x:f>IF(AD41="","",AD41-AE41)</x:f>
      </x:c>
    </x:row>
    <x:row r="42">
      <x:c r="A42" s="192"/>
      <x:c r="B42" s="193"/>
      <x:c r="C42" s="193"/>
      <x:c r="D42" s="194"/>
      <x:c r="E42" s="194"/>
      <x:c r="F42" s="194"/>
      <x:c r="G42" s="194"/>
      <x:c r="H42" s="194"/>
      <x:c r="I42" s="194"/>
      <x:c r="J42" s="194"/>
      <x:c r="K42" s="194"/>
      <x:c r="L42" s="194"/>
      <x:c r="M42" s="195"/>
      <x:c r="N42" s="195"/>
      <x:c r="O42" s="195"/>
      <x:c r="P42" s="195"/>
      <x:c r="Q42" s="195"/>
      <x:c r="R42" s="195"/>
      <x:c r="S42" s="196" t="str">
        <x:f>IF(OR(M42="",N42="",Q42="",M42=0),"",ABS((M42-N42)/M42*Q42))</x:f>
      </x:c>
      <x:c r="T42" s="196" t="str">
        <x:f>IF(OR(M42="",N42="",O42="",M42=N42),"",ABS((O42-M42)/(M42-N42)))</x:f>
      </x:c>
      <x:c r="U42" s="195"/>
      <x:c r="V42" s="196" t="str">
        <x:f>IF(U42&lt;&gt;"",U42,IF(OR(P42="",M42="",Q42="",E42=""),"",IF(E42="做多",(P42-M42)/M42*Q42-R42,(M42-P42)/M42*Q42-R42)))</x:f>
      </x:c>
      <x:c r="W42" s="197" t="str">
        <x:f>IF(OR(V42="",S42="",S42=0),"",V42/S42)</x:f>
      </x:c>
      <x:c r="X42" s="198" t="str">
        <x:f>IF(V42="","",IF(V42&gt;0,"Win",IF(V42&lt;0,"Loss","BE")))</x:f>
      </x:c>
      <x:c r="Y42" s="194"/>
      <x:c r="Z42" s="194"/>
      <x:c r="AA42" s="194"/>
      <x:c r="AB42" s="194"/>
      <x:c r="AC42" s="194"/>
      <x:c r="AD42" s="196" t="str">
        <x:f>IF(A42="","",SUM($V$4:V42))</x:f>
      </x:c>
      <x:c r="AE42" s="196" t="str">
        <x:f>IF(AD42="","",MAX(0,$AD$4:AD42))</x:f>
      </x:c>
      <x:c r="AF42" s="199" t="str">
        <x:f>IF(AD42="","",AD42-AE42)</x:f>
      </x:c>
    </x:row>
    <x:row r="43">
      <x:c r="A43" s="192"/>
      <x:c r="B43" s="193"/>
      <x:c r="C43" s="193"/>
      <x:c r="D43" s="194"/>
      <x:c r="E43" s="194"/>
      <x:c r="F43" s="194"/>
      <x:c r="G43" s="194"/>
      <x:c r="H43" s="194"/>
      <x:c r="I43" s="194"/>
      <x:c r="J43" s="194"/>
      <x:c r="K43" s="194"/>
      <x:c r="L43" s="194"/>
      <x:c r="M43" s="195"/>
      <x:c r="N43" s="195"/>
      <x:c r="O43" s="195"/>
      <x:c r="P43" s="195"/>
      <x:c r="Q43" s="195"/>
      <x:c r="R43" s="195"/>
      <x:c r="S43" s="196" t="str">
        <x:f>IF(OR(M43="",N43="",Q43="",M43=0),"",ABS((M43-N43)/M43*Q43))</x:f>
      </x:c>
      <x:c r="T43" s="196" t="str">
        <x:f>IF(OR(M43="",N43="",O43="",M43=N43),"",ABS((O43-M43)/(M43-N43)))</x:f>
      </x:c>
      <x:c r="U43" s="195"/>
      <x:c r="V43" s="196" t="str">
        <x:f>IF(U43&lt;&gt;"",U43,IF(OR(P43="",M43="",Q43="",E43=""),"",IF(E43="做多",(P43-M43)/M43*Q43-R43,(M43-P43)/M43*Q43-R43)))</x:f>
      </x:c>
      <x:c r="W43" s="197" t="str">
        <x:f>IF(OR(V43="",S43="",S43=0),"",V43/S43)</x:f>
      </x:c>
      <x:c r="X43" s="198" t="str">
        <x:f>IF(V43="","",IF(V43&gt;0,"Win",IF(V43&lt;0,"Loss","BE")))</x:f>
      </x:c>
      <x:c r="Y43" s="194"/>
      <x:c r="Z43" s="194"/>
      <x:c r="AA43" s="194"/>
      <x:c r="AB43" s="194"/>
      <x:c r="AC43" s="194"/>
      <x:c r="AD43" s="196" t="str">
        <x:f>IF(A43="","",SUM($V$4:V43))</x:f>
      </x:c>
      <x:c r="AE43" s="196" t="str">
        <x:f>IF(AD43="","",MAX(0,$AD$4:AD43))</x:f>
      </x:c>
      <x:c r="AF43" s="199" t="str">
        <x:f>IF(AD43="","",AD43-AE43)</x:f>
      </x:c>
    </x:row>
    <x:row r="44">
      <x:c r="A44" s="192"/>
      <x:c r="B44" s="193"/>
      <x:c r="C44" s="193"/>
      <x:c r="D44" s="194"/>
      <x:c r="E44" s="194"/>
      <x:c r="F44" s="194"/>
      <x:c r="G44" s="194"/>
      <x:c r="H44" s="194"/>
      <x:c r="I44" s="194"/>
      <x:c r="J44" s="194"/>
      <x:c r="K44" s="194"/>
      <x:c r="L44" s="194"/>
      <x:c r="M44" s="195"/>
      <x:c r="N44" s="195"/>
      <x:c r="O44" s="195"/>
      <x:c r="P44" s="195"/>
      <x:c r="Q44" s="195"/>
      <x:c r="R44" s="195"/>
      <x:c r="S44" s="196" t="str">
        <x:f>IF(OR(M44="",N44="",Q44="",M44=0),"",ABS((M44-N44)/M44*Q44))</x:f>
      </x:c>
      <x:c r="T44" s="196" t="str">
        <x:f>IF(OR(M44="",N44="",O44="",M44=N44),"",ABS((O44-M44)/(M44-N44)))</x:f>
      </x:c>
      <x:c r="U44" s="195"/>
      <x:c r="V44" s="196" t="str">
        <x:f>IF(U44&lt;&gt;"",U44,IF(OR(P44="",M44="",Q44="",E44=""),"",IF(E44="做多",(P44-M44)/M44*Q44-R44,(M44-P44)/M44*Q44-R44)))</x:f>
      </x:c>
      <x:c r="W44" s="197" t="str">
        <x:f>IF(OR(V44="",S44="",S44=0),"",V44/S44)</x:f>
      </x:c>
      <x:c r="X44" s="198" t="str">
        <x:f>IF(V44="","",IF(V44&gt;0,"Win",IF(V44&lt;0,"Loss","BE")))</x:f>
      </x:c>
      <x:c r="Y44" s="194"/>
      <x:c r="Z44" s="194"/>
      <x:c r="AA44" s="194"/>
      <x:c r="AB44" s="194"/>
      <x:c r="AC44" s="194"/>
      <x:c r="AD44" s="196" t="str">
        <x:f>IF(A44="","",SUM($V$4:V44))</x:f>
      </x:c>
      <x:c r="AE44" s="196" t="str">
        <x:f>IF(AD44="","",MAX(0,$AD$4:AD44))</x:f>
      </x:c>
      <x:c r="AF44" s="199" t="str">
        <x:f>IF(AD44="","",AD44-AE44)</x:f>
      </x:c>
    </x:row>
    <x:row r="45">
      <x:c r="A45" s="192"/>
      <x:c r="B45" s="193"/>
      <x:c r="C45" s="193"/>
      <x:c r="D45" s="194"/>
      <x:c r="E45" s="194"/>
      <x:c r="F45" s="194"/>
      <x:c r="G45" s="194"/>
      <x:c r="H45" s="194"/>
      <x:c r="I45" s="194"/>
      <x:c r="J45" s="194"/>
      <x:c r="K45" s="194"/>
      <x:c r="L45" s="194"/>
      <x:c r="M45" s="195"/>
      <x:c r="N45" s="195"/>
      <x:c r="O45" s="195"/>
      <x:c r="P45" s="195"/>
      <x:c r="Q45" s="195"/>
      <x:c r="R45" s="195"/>
      <x:c r="S45" s="196" t="str">
        <x:f>IF(OR(M45="",N45="",Q45="",M45=0),"",ABS((M45-N45)/M45*Q45))</x:f>
      </x:c>
      <x:c r="T45" s="196" t="str">
        <x:f>IF(OR(M45="",N45="",O45="",M45=N45),"",ABS((O45-M45)/(M45-N45)))</x:f>
      </x:c>
      <x:c r="U45" s="195"/>
      <x:c r="V45" s="196" t="str">
        <x:f>IF(U45&lt;&gt;"",U45,IF(OR(P45="",M45="",Q45="",E45=""),"",IF(E45="做多",(P45-M45)/M45*Q45-R45,(M45-P45)/M45*Q45-R45)))</x:f>
      </x:c>
      <x:c r="W45" s="197" t="str">
        <x:f>IF(OR(V45="",S45="",S45=0),"",V45/S45)</x:f>
      </x:c>
      <x:c r="X45" s="198" t="str">
        <x:f>IF(V45="","",IF(V45&gt;0,"Win",IF(V45&lt;0,"Loss","BE")))</x:f>
      </x:c>
      <x:c r="Y45" s="194"/>
      <x:c r="Z45" s="194"/>
      <x:c r="AA45" s="194"/>
      <x:c r="AB45" s="194"/>
      <x:c r="AC45" s="194"/>
      <x:c r="AD45" s="196" t="str">
        <x:f>IF(A45="","",SUM($V$4:V45))</x:f>
      </x:c>
      <x:c r="AE45" s="196" t="str">
        <x:f>IF(AD45="","",MAX(0,$AD$4:AD45))</x:f>
      </x:c>
      <x:c r="AF45" s="199" t="str">
        <x:f>IF(AD45="","",AD45-AE45)</x:f>
      </x:c>
    </x:row>
    <x:row r="46">
      <x:c r="A46" s="192"/>
      <x:c r="B46" s="193"/>
      <x:c r="C46" s="193"/>
      <x:c r="D46" s="194"/>
      <x:c r="E46" s="194"/>
      <x:c r="F46" s="194"/>
      <x:c r="G46" s="194"/>
      <x:c r="H46" s="194"/>
      <x:c r="I46" s="194"/>
      <x:c r="J46" s="194"/>
      <x:c r="K46" s="194"/>
      <x:c r="L46" s="194"/>
      <x:c r="M46" s="195"/>
      <x:c r="N46" s="195"/>
      <x:c r="O46" s="195"/>
      <x:c r="P46" s="195"/>
      <x:c r="Q46" s="195"/>
      <x:c r="R46" s="195"/>
      <x:c r="S46" s="196" t="str">
        <x:f>IF(OR(M46="",N46="",Q46="",M46=0),"",ABS((M46-N46)/M46*Q46))</x:f>
      </x:c>
      <x:c r="T46" s="196" t="str">
        <x:f>IF(OR(M46="",N46="",O46="",M46=N46),"",ABS((O46-M46)/(M46-N46)))</x:f>
      </x:c>
      <x:c r="U46" s="195"/>
      <x:c r="V46" s="196" t="str">
        <x:f>IF(U46&lt;&gt;"",U46,IF(OR(P46="",M46="",Q46="",E46=""),"",IF(E46="做多",(P46-M46)/M46*Q46-R46,(M46-P46)/M46*Q46-R46)))</x:f>
      </x:c>
      <x:c r="W46" s="197" t="str">
        <x:f>IF(OR(V46="",S46="",S46=0),"",V46/S46)</x:f>
      </x:c>
      <x:c r="X46" s="198" t="str">
        <x:f>IF(V46="","",IF(V46&gt;0,"Win",IF(V46&lt;0,"Loss","BE")))</x:f>
      </x:c>
      <x:c r="Y46" s="194"/>
      <x:c r="Z46" s="194"/>
      <x:c r="AA46" s="194"/>
      <x:c r="AB46" s="194"/>
      <x:c r="AC46" s="194"/>
      <x:c r="AD46" s="196" t="str">
        <x:f>IF(A46="","",SUM($V$4:V46))</x:f>
      </x:c>
      <x:c r="AE46" s="196" t="str">
        <x:f>IF(AD46="","",MAX(0,$AD$4:AD46))</x:f>
      </x:c>
      <x:c r="AF46" s="199" t="str">
        <x:f>IF(AD46="","",AD46-AE46)</x:f>
      </x:c>
    </x:row>
    <x:row r="47">
      <x:c r="A47" s="192"/>
      <x:c r="B47" s="193"/>
      <x:c r="C47" s="193"/>
      <x:c r="D47" s="194"/>
      <x:c r="E47" s="194"/>
      <x:c r="F47" s="194"/>
      <x:c r="G47" s="194"/>
      <x:c r="H47" s="194"/>
      <x:c r="I47" s="194"/>
      <x:c r="J47" s="194"/>
      <x:c r="K47" s="194"/>
      <x:c r="L47" s="194"/>
      <x:c r="M47" s="195"/>
      <x:c r="N47" s="195"/>
      <x:c r="O47" s="195"/>
      <x:c r="P47" s="195"/>
      <x:c r="Q47" s="195"/>
      <x:c r="R47" s="195"/>
      <x:c r="S47" s="196" t="str">
        <x:f>IF(OR(M47="",N47="",Q47="",M47=0),"",ABS((M47-N47)/M47*Q47))</x:f>
      </x:c>
      <x:c r="T47" s="196" t="str">
        <x:f>IF(OR(M47="",N47="",O47="",M47=N47),"",ABS((O47-M47)/(M47-N47)))</x:f>
      </x:c>
      <x:c r="U47" s="195"/>
      <x:c r="V47" s="196" t="str">
        <x:f>IF(U47&lt;&gt;"",U47,IF(OR(P47="",M47="",Q47="",E47=""),"",IF(E47="做多",(P47-M47)/M47*Q47-R47,(M47-P47)/M47*Q47-R47)))</x:f>
      </x:c>
      <x:c r="W47" s="197" t="str">
        <x:f>IF(OR(V47="",S47="",S47=0),"",V47/S47)</x:f>
      </x:c>
      <x:c r="X47" s="198" t="str">
        <x:f>IF(V47="","",IF(V47&gt;0,"Win",IF(V47&lt;0,"Loss","BE")))</x:f>
      </x:c>
      <x:c r="Y47" s="194"/>
      <x:c r="Z47" s="194"/>
      <x:c r="AA47" s="194"/>
      <x:c r="AB47" s="194"/>
      <x:c r="AC47" s="194"/>
      <x:c r="AD47" s="196" t="str">
        <x:f>IF(A47="","",SUM($V$4:V47))</x:f>
      </x:c>
      <x:c r="AE47" s="196" t="str">
        <x:f>IF(AD47="","",MAX(0,$AD$4:AD47))</x:f>
      </x:c>
      <x:c r="AF47" s="199" t="str">
        <x:f>IF(AD47="","",AD47-AE47)</x:f>
      </x:c>
    </x:row>
    <x:row r="48">
      <x:c r="A48" s="192"/>
      <x:c r="B48" s="193"/>
      <x:c r="C48" s="193"/>
      <x:c r="D48" s="194"/>
      <x:c r="E48" s="194"/>
      <x:c r="F48" s="194"/>
      <x:c r="G48" s="194"/>
      <x:c r="H48" s="194"/>
      <x:c r="I48" s="194"/>
      <x:c r="J48" s="194"/>
      <x:c r="K48" s="194"/>
      <x:c r="L48" s="194"/>
      <x:c r="M48" s="195"/>
      <x:c r="N48" s="195"/>
      <x:c r="O48" s="195"/>
      <x:c r="P48" s="195"/>
      <x:c r="Q48" s="195"/>
      <x:c r="R48" s="195"/>
      <x:c r="S48" s="196" t="str">
        <x:f>IF(OR(M48="",N48="",Q48="",M48=0),"",ABS((M48-N48)/M48*Q48))</x:f>
      </x:c>
      <x:c r="T48" s="196" t="str">
        <x:f>IF(OR(M48="",N48="",O48="",M48=N48),"",ABS((O48-M48)/(M48-N48)))</x:f>
      </x:c>
      <x:c r="U48" s="195"/>
      <x:c r="V48" s="196" t="str">
        <x:f>IF(U48&lt;&gt;"",U48,IF(OR(P48="",M48="",Q48="",E48=""),"",IF(E48="做多",(P48-M48)/M48*Q48-R48,(M48-P48)/M48*Q48-R48)))</x:f>
      </x:c>
      <x:c r="W48" s="197" t="str">
        <x:f>IF(OR(V48="",S48="",S48=0),"",V48/S48)</x:f>
      </x:c>
      <x:c r="X48" s="198" t="str">
        <x:f>IF(V48="","",IF(V48&gt;0,"Win",IF(V48&lt;0,"Loss","BE")))</x:f>
      </x:c>
      <x:c r="Y48" s="194"/>
      <x:c r="Z48" s="194"/>
      <x:c r="AA48" s="194"/>
      <x:c r="AB48" s="194"/>
      <x:c r="AC48" s="194"/>
      <x:c r="AD48" s="196" t="str">
        <x:f>IF(A48="","",SUM($V$4:V48))</x:f>
      </x:c>
      <x:c r="AE48" s="196" t="str">
        <x:f>IF(AD48="","",MAX(0,$AD$4:AD48))</x:f>
      </x:c>
      <x:c r="AF48" s="199" t="str">
        <x:f>IF(AD48="","",AD48-AE48)</x:f>
      </x:c>
    </x:row>
    <x:row r="49">
      <x:c r="A49" s="192"/>
      <x:c r="B49" s="193"/>
      <x:c r="C49" s="193"/>
      <x:c r="D49" s="194"/>
      <x:c r="E49" s="194"/>
      <x:c r="F49" s="194"/>
      <x:c r="G49" s="194"/>
      <x:c r="H49" s="194"/>
      <x:c r="I49" s="194"/>
      <x:c r="J49" s="194"/>
      <x:c r="K49" s="194"/>
      <x:c r="L49" s="194"/>
      <x:c r="M49" s="195"/>
      <x:c r="N49" s="195"/>
      <x:c r="O49" s="195"/>
      <x:c r="P49" s="195"/>
      <x:c r="Q49" s="195"/>
      <x:c r="R49" s="195"/>
      <x:c r="S49" s="196" t="str">
        <x:f>IF(OR(M49="",N49="",Q49="",M49=0),"",ABS((M49-N49)/M49*Q49))</x:f>
      </x:c>
      <x:c r="T49" s="196" t="str">
        <x:f>IF(OR(M49="",N49="",O49="",M49=N49),"",ABS((O49-M49)/(M49-N49)))</x:f>
      </x:c>
      <x:c r="U49" s="195"/>
      <x:c r="V49" s="196" t="str">
        <x:f>IF(U49&lt;&gt;"",U49,IF(OR(P49="",M49="",Q49="",E49=""),"",IF(E49="做多",(P49-M49)/M49*Q49-R49,(M49-P49)/M49*Q49-R49)))</x:f>
      </x:c>
      <x:c r="W49" s="197" t="str">
        <x:f>IF(OR(V49="",S49="",S49=0),"",V49/S49)</x:f>
      </x:c>
      <x:c r="X49" s="198" t="str">
        <x:f>IF(V49="","",IF(V49&gt;0,"Win",IF(V49&lt;0,"Loss","BE")))</x:f>
      </x:c>
      <x:c r="Y49" s="194"/>
      <x:c r="Z49" s="194"/>
      <x:c r="AA49" s="194"/>
      <x:c r="AB49" s="194"/>
      <x:c r="AC49" s="194"/>
      <x:c r="AD49" s="196" t="str">
        <x:f>IF(A49="","",SUM($V$4:V49))</x:f>
      </x:c>
      <x:c r="AE49" s="196" t="str">
        <x:f>IF(AD49="","",MAX(0,$AD$4:AD49))</x:f>
      </x:c>
      <x:c r="AF49" s="199" t="str">
        <x:f>IF(AD49="","",AD49-AE49)</x:f>
      </x:c>
    </x:row>
    <x:row r="50">
      <x:c r="A50" s="192"/>
      <x:c r="B50" s="193"/>
      <x:c r="C50" s="193"/>
      <x:c r="D50" s="194"/>
      <x:c r="E50" s="194"/>
      <x:c r="F50" s="194"/>
      <x:c r="G50" s="194"/>
      <x:c r="H50" s="194"/>
      <x:c r="I50" s="194"/>
      <x:c r="J50" s="194"/>
      <x:c r="K50" s="194"/>
      <x:c r="L50" s="194"/>
      <x:c r="M50" s="195"/>
      <x:c r="N50" s="195"/>
      <x:c r="O50" s="195"/>
      <x:c r="P50" s="195"/>
      <x:c r="Q50" s="195"/>
      <x:c r="R50" s="195"/>
      <x:c r="S50" s="196" t="str">
        <x:f>IF(OR(M50="",N50="",Q50="",M50=0),"",ABS((M50-N50)/M50*Q50))</x:f>
      </x:c>
      <x:c r="T50" s="196" t="str">
        <x:f>IF(OR(M50="",N50="",O50="",M50=N50),"",ABS((O50-M50)/(M50-N50)))</x:f>
      </x:c>
      <x:c r="U50" s="195"/>
      <x:c r="V50" s="196" t="str">
        <x:f>IF(U50&lt;&gt;"",U50,IF(OR(P50="",M50="",Q50="",E50=""),"",IF(E50="做多",(P50-M50)/M50*Q50-R50,(M50-P50)/M50*Q50-R50)))</x:f>
      </x:c>
      <x:c r="W50" s="197" t="str">
        <x:f>IF(OR(V50="",S50="",S50=0),"",V50/S50)</x:f>
      </x:c>
      <x:c r="X50" s="198" t="str">
        <x:f>IF(V50="","",IF(V50&gt;0,"Win",IF(V50&lt;0,"Loss","BE")))</x:f>
      </x:c>
      <x:c r="Y50" s="194"/>
      <x:c r="Z50" s="194"/>
      <x:c r="AA50" s="194"/>
      <x:c r="AB50" s="194"/>
      <x:c r="AC50" s="194"/>
      <x:c r="AD50" s="196" t="str">
        <x:f>IF(A50="","",SUM($V$4:V50))</x:f>
      </x:c>
      <x:c r="AE50" s="196" t="str">
        <x:f>IF(AD50="","",MAX(0,$AD$4:AD50))</x:f>
      </x:c>
      <x:c r="AF50" s="199" t="str">
        <x:f>IF(AD50="","",AD50-AE50)</x:f>
      </x:c>
    </x:row>
    <x:row r="51">
      <x:c r="A51" s="192"/>
      <x:c r="B51" s="193"/>
      <x:c r="C51" s="193"/>
      <x:c r="D51" s="194"/>
      <x:c r="E51" s="194"/>
      <x:c r="F51" s="194"/>
      <x:c r="G51" s="194"/>
      <x:c r="H51" s="194"/>
      <x:c r="I51" s="194"/>
      <x:c r="J51" s="194"/>
      <x:c r="K51" s="194"/>
      <x:c r="L51" s="194"/>
      <x:c r="M51" s="195"/>
      <x:c r="N51" s="195"/>
      <x:c r="O51" s="195"/>
      <x:c r="P51" s="195"/>
      <x:c r="Q51" s="195"/>
      <x:c r="R51" s="195"/>
      <x:c r="S51" s="196" t="str">
        <x:f>IF(OR(M51="",N51="",Q51="",M51=0),"",ABS((M51-N51)/M51*Q51))</x:f>
      </x:c>
      <x:c r="T51" s="196" t="str">
        <x:f>IF(OR(M51="",N51="",O51="",M51=N51),"",ABS((O51-M51)/(M51-N51)))</x:f>
      </x:c>
      <x:c r="U51" s="195"/>
      <x:c r="V51" s="196" t="str">
        <x:f>IF(U51&lt;&gt;"",U51,IF(OR(P51="",M51="",Q51="",E51=""),"",IF(E51="做多",(P51-M51)/M51*Q51-R51,(M51-P51)/M51*Q51-R51)))</x:f>
      </x:c>
      <x:c r="W51" s="197" t="str">
        <x:f>IF(OR(V51="",S51="",S51=0),"",V51/S51)</x:f>
      </x:c>
      <x:c r="X51" s="198" t="str">
        <x:f>IF(V51="","",IF(V51&gt;0,"Win",IF(V51&lt;0,"Loss","BE")))</x:f>
      </x:c>
      <x:c r="Y51" s="194"/>
      <x:c r="Z51" s="194"/>
      <x:c r="AA51" s="194"/>
      <x:c r="AB51" s="194"/>
      <x:c r="AC51" s="194"/>
      <x:c r="AD51" s="196" t="str">
        <x:f>IF(A51="","",SUM($V$4:V51))</x:f>
      </x:c>
      <x:c r="AE51" s="196" t="str">
        <x:f>IF(AD51="","",MAX(0,$AD$4:AD51))</x:f>
      </x:c>
      <x:c r="AF51" s="199" t="str">
        <x:f>IF(AD51="","",AD51-AE51)</x:f>
      </x:c>
    </x:row>
    <x:row r="52">
      <x:c r="A52" s="192"/>
      <x:c r="B52" s="193"/>
      <x:c r="C52" s="193"/>
      <x:c r="D52" s="194"/>
      <x:c r="E52" s="194"/>
      <x:c r="F52" s="194"/>
      <x:c r="G52" s="194"/>
      <x:c r="H52" s="194"/>
      <x:c r="I52" s="194"/>
      <x:c r="J52" s="194"/>
      <x:c r="K52" s="194"/>
      <x:c r="L52" s="194"/>
      <x:c r="M52" s="195"/>
      <x:c r="N52" s="195"/>
      <x:c r="O52" s="195"/>
      <x:c r="P52" s="195"/>
      <x:c r="Q52" s="195"/>
      <x:c r="R52" s="195"/>
      <x:c r="S52" s="196" t="str">
        <x:f>IF(OR(M52="",N52="",Q52="",M52=0),"",ABS((M52-N52)/M52*Q52))</x:f>
      </x:c>
      <x:c r="T52" s="196" t="str">
        <x:f>IF(OR(M52="",N52="",O52="",M52=N52),"",ABS((O52-M52)/(M52-N52)))</x:f>
      </x:c>
      <x:c r="U52" s="195"/>
      <x:c r="V52" s="196" t="str">
        <x:f>IF(U52&lt;&gt;"",U52,IF(OR(P52="",M52="",Q52="",E52=""),"",IF(E52="做多",(P52-M52)/M52*Q52-R52,(M52-P52)/M52*Q52-R52)))</x:f>
      </x:c>
      <x:c r="W52" s="197" t="str">
        <x:f>IF(OR(V52="",S52="",S52=0),"",V52/S52)</x:f>
      </x:c>
      <x:c r="X52" s="198" t="str">
        <x:f>IF(V52="","",IF(V52&gt;0,"Win",IF(V52&lt;0,"Loss","BE")))</x:f>
      </x:c>
      <x:c r="Y52" s="194"/>
      <x:c r="Z52" s="194"/>
      <x:c r="AA52" s="194"/>
      <x:c r="AB52" s="194"/>
      <x:c r="AC52" s="194"/>
      <x:c r="AD52" s="196" t="str">
        <x:f>IF(A52="","",SUM($V$4:V52))</x:f>
      </x:c>
      <x:c r="AE52" s="196" t="str">
        <x:f>IF(AD52="","",MAX(0,$AD$4:AD52))</x:f>
      </x:c>
      <x:c r="AF52" s="199" t="str">
        <x:f>IF(AD52="","",AD52-AE52)</x:f>
      </x:c>
    </x:row>
    <x:row r="53">
      <x:c r="A53" s="192"/>
      <x:c r="B53" s="193"/>
      <x:c r="C53" s="193"/>
      <x:c r="D53" s="194"/>
      <x:c r="E53" s="194"/>
      <x:c r="F53" s="194"/>
      <x:c r="G53" s="194"/>
      <x:c r="H53" s="194"/>
      <x:c r="I53" s="194"/>
      <x:c r="J53" s="194"/>
      <x:c r="K53" s="194"/>
      <x:c r="L53" s="194"/>
      <x:c r="M53" s="195"/>
      <x:c r="N53" s="195"/>
      <x:c r="O53" s="195"/>
      <x:c r="P53" s="195"/>
      <x:c r="Q53" s="195"/>
      <x:c r="R53" s="195"/>
      <x:c r="S53" s="196" t="str">
        <x:f>IF(OR(M53="",N53="",Q53="",M53=0),"",ABS((M53-N53)/M53*Q53))</x:f>
      </x:c>
      <x:c r="T53" s="196" t="str">
        <x:f>IF(OR(M53="",N53="",O53="",M53=N53),"",ABS((O53-M53)/(M53-N53)))</x:f>
      </x:c>
      <x:c r="U53" s="195"/>
      <x:c r="V53" s="196" t="str">
        <x:f>IF(U53&lt;&gt;"",U53,IF(OR(P53="",M53="",Q53="",E53=""),"",IF(E53="做多",(P53-M53)/M53*Q53-R53,(M53-P53)/M53*Q53-R53)))</x:f>
      </x:c>
      <x:c r="W53" s="197" t="str">
        <x:f>IF(OR(V53="",S53="",S53=0),"",V53/S53)</x:f>
      </x:c>
      <x:c r="X53" s="198" t="str">
        <x:f>IF(V53="","",IF(V53&gt;0,"Win",IF(V53&lt;0,"Loss","BE")))</x:f>
      </x:c>
      <x:c r="Y53" s="194"/>
      <x:c r="Z53" s="194"/>
      <x:c r="AA53" s="194"/>
      <x:c r="AB53" s="194"/>
      <x:c r="AC53" s="194"/>
      <x:c r="AD53" s="196" t="str">
        <x:f>IF(A53="","",SUM($V$4:V53))</x:f>
      </x:c>
      <x:c r="AE53" s="196" t="str">
        <x:f>IF(AD53="","",MAX(0,$AD$4:AD53))</x:f>
      </x:c>
      <x:c r="AF53" s="199" t="str">
        <x:f>IF(AD53="","",AD53-AE53)</x:f>
      </x:c>
    </x:row>
    <x:row r="54">
      <x:c r="A54" s="192"/>
      <x:c r="B54" s="193"/>
      <x:c r="C54" s="193"/>
      <x:c r="D54" s="194"/>
      <x:c r="E54" s="194"/>
      <x:c r="F54" s="194"/>
      <x:c r="G54" s="194"/>
      <x:c r="H54" s="194"/>
      <x:c r="I54" s="194"/>
      <x:c r="J54" s="194"/>
      <x:c r="K54" s="194"/>
      <x:c r="L54" s="194"/>
      <x:c r="M54" s="195"/>
      <x:c r="N54" s="195"/>
      <x:c r="O54" s="195"/>
      <x:c r="P54" s="195"/>
      <x:c r="Q54" s="195"/>
      <x:c r="R54" s="195"/>
      <x:c r="S54" s="196" t="str">
        <x:f>IF(OR(M54="",N54="",Q54="",M54=0),"",ABS((M54-N54)/M54*Q54))</x:f>
      </x:c>
      <x:c r="T54" s="196" t="str">
        <x:f>IF(OR(M54="",N54="",O54="",M54=N54),"",ABS((O54-M54)/(M54-N54)))</x:f>
      </x:c>
      <x:c r="U54" s="195"/>
      <x:c r="V54" s="196" t="str">
        <x:f>IF(U54&lt;&gt;"",U54,IF(OR(P54="",M54="",Q54="",E54=""),"",IF(E54="做多",(P54-M54)/M54*Q54-R54,(M54-P54)/M54*Q54-R54)))</x:f>
      </x:c>
      <x:c r="W54" s="197" t="str">
        <x:f>IF(OR(V54="",S54="",S54=0),"",V54/S54)</x:f>
      </x:c>
      <x:c r="X54" s="198" t="str">
        <x:f>IF(V54="","",IF(V54&gt;0,"Win",IF(V54&lt;0,"Loss","BE")))</x:f>
      </x:c>
      <x:c r="Y54" s="194"/>
      <x:c r="Z54" s="194"/>
      <x:c r="AA54" s="194"/>
      <x:c r="AB54" s="194"/>
      <x:c r="AC54" s="194"/>
      <x:c r="AD54" s="196" t="str">
        <x:f>IF(A54="","",SUM($V$4:V54))</x:f>
      </x:c>
      <x:c r="AE54" s="196" t="str">
        <x:f>IF(AD54="","",MAX(0,$AD$4:AD54))</x:f>
      </x:c>
      <x:c r="AF54" s="199" t="str">
        <x:f>IF(AD54="","",AD54-AE54)</x:f>
      </x:c>
    </x:row>
    <x:row r="55">
      <x:c r="A55" s="192"/>
      <x:c r="B55" s="193"/>
      <x:c r="C55" s="193"/>
      <x:c r="D55" s="194"/>
      <x:c r="E55" s="194"/>
      <x:c r="F55" s="194"/>
      <x:c r="G55" s="194"/>
      <x:c r="H55" s="194"/>
      <x:c r="I55" s="194"/>
      <x:c r="J55" s="194"/>
      <x:c r="K55" s="194"/>
      <x:c r="L55" s="194"/>
      <x:c r="M55" s="195"/>
      <x:c r="N55" s="195"/>
      <x:c r="O55" s="195"/>
      <x:c r="P55" s="195"/>
      <x:c r="Q55" s="195"/>
      <x:c r="R55" s="195"/>
      <x:c r="S55" s="196" t="str">
        <x:f>IF(OR(M55="",N55="",Q55="",M55=0),"",ABS((M55-N55)/M55*Q55))</x:f>
      </x:c>
      <x:c r="T55" s="196" t="str">
        <x:f>IF(OR(M55="",N55="",O55="",M55=N55),"",ABS((O55-M55)/(M55-N55)))</x:f>
      </x:c>
      <x:c r="U55" s="195"/>
      <x:c r="V55" s="196" t="str">
        <x:f>IF(U55&lt;&gt;"",U55,IF(OR(P55="",M55="",Q55="",E55=""),"",IF(E55="做多",(P55-M55)/M55*Q55-R55,(M55-P55)/M55*Q55-R55)))</x:f>
      </x:c>
      <x:c r="W55" s="197" t="str">
        <x:f>IF(OR(V55="",S55="",S55=0),"",V55/S55)</x:f>
      </x:c>
      <x:c r="X55" s="198" t="str">
        <x:f>IF(V55="","",IF(V55&gt;0,"Win",IF(V55&lt;0,"Loss","BE")))</x:f>
      </x:c>
      <x:c r="Y55" s="194"/>
      <x:c r="Z55" s="194"/>
      <x:c r="AA55" s="194"/>
      <x:c r="AB55" s="194"/>
      <x:c r="AC55" s="194"/>
      <x:c r="AD55" s="196" t="str">
        <x:f>IF(A55="","",SUM($V$4:V55))</x:f>
      </x:c>
      <x:c r="AE55" s="196" t="str">
        <x:f>IF(AD55="","",MAX(0,$AD$4:AD55))</x:f>
      </x:c>
      <x:c r="AF55" s="199" t="str">
        <x:f>IF(AD55="","",AD55-AE55)</x:f>
      </x:c>
    </x:row>
    <x:row r="56">
      <x:c r="A56" s="192"/>
      <x:c r="B56" s="193"/>
      <x:c r="C56" s="193"/>
      <x:c r="D56" s="194"/>
      <x:c r="E56" s="194"/>
      <x:c r="F56" s="194"/>
      <x:c r="G56" s="194"/>
      <x:c r="H56" s="194"/>
      <x:c r="I56" s="194"/>
      <x:c r="J56" s="194"/>
      <x:c r="K56" s="194"/>
      <x:c r="L56" s="194"/>
      <x:c r="M56" s="195"/>
      <x:c r="N56" s="195"/>
      <x:c r="O56" s="195"/>
      <x:c r="P56" s="195"/>
      <x:c r="Q56" s="195"/>
      <x:c r="R56" s="195"/>
      <x:c r="S56" s="196" t="str">
        <x:f>IF(OR(M56="",N56="",Q56="",M56=0),"",ABS((M56-N56)/M56*Q56))</x:f>
      </x:c>
      <x:c r="T56" s="196" t="str">
        <x:f>IF(OR(M56="",N56="",O56="",M56=N56),"",ABS((O56-M56)/(M56-N56)))</x:f>
      </x:c>
      <x:c r="U56" s="195"/>
      <x:c r="V56" s="196" t="str">
        <x:f>IF(U56&lt;&gt;"",U56,IF(OR(P56="",M56="",Q56="",E56=""),"",IF(E56="做多",(P56-M56)/M56*Q56-R56,(M56-P56)/M56*Q56-R56)))</x:f>
      </x:c>
      <x:c r="W56" s="197" t="str">
        <x:f>IF(OR(V56="",S56="",S56=0),"",V56/S56)</x:f>
      </x:c>
      <x:c r="X56" s="198" t="str">
        <x:f>IF(V56="","",IF(V56&gt;0,"Win",IF(V56&lt;0,"Loss","BE")))</x:f>
      </x:c>
      <x:c r="Y56" s="194"/>
      <x:c r="Z56" s="194"/>
      <x:c r="AA56" s="194"/>
      <x:c r="AB56" s="194"/>
      <x:c r="AC56" s="194"/>
      <x:c r="AD56" s="196" t="str">
        <x:f>IF(A56="","",SUM($V$4:V56))</x:f>
      </x:c>
      <x:c r="AE56" s="196" t="str">
        <x:f>IF(AD56="","",MAX(0,$AD$4:AD56))</x:f>
      </x:c>
      <x:c r="AF56" s="199" t="str">
        <x:f>IF(AD56="","",AD56-AE56)</x:f>
      </x:c>
    </x:row>
    <x:row r="57">
      <x:c r="A57" s="192"/>
      <x:c r="B57" s="193"/>
      <x:c r="C57" s="193"/>
      <x:c r="D57" s="194"/>
      <x:c r="E57" s="194"/>
      <x:c r="F57" s="194"/>
      <x:c r="G57" s="194"/>
      <x:c r="H57" s="194"/>
      <x:c r="I57" s="194"/>
      <x:c r="J57" s="194"/>
      <x:c r="K57" s="194"/>
      <x:c r="L57" s="194"/>
      <x:c r="M57" s="195"/>
      <x:c r="N57" s="195"/>
      <x:c r="O57" s="195"/>
      <x:c r="P57" s="195"/>
      <x:c r="Q57" s="195"/>
      <x:c r="R57" s="195"/>
      <x:c r="S57" s="196" t="str">
        <x:f>IF(OR(M57="",N57="",Q57="",M57=0),"",ABS((M57-N57)/M57*Q57))</x:f>
      </x:c>
      <x:c r="T57" s="196" t="str">
        <x:f>IF(OR(M57="",N57="",O57="",M57=N57),"",ABS((O57-M57)/(M57-N57)))</x:f>
      </x:c>
      <x:c r="U57" s="195"/>
      <x:c r="V57" s="196" t="str">
        <x:f>IF(U57&lt;&gt;"",U57,IF(OR(P57="",M57="",Q57="",E57=""),"",IF(E57="做多",(P57-M57)/M57*Q57-R57,(M57-P57)/M57*Q57-R57)))</x:f>
      </x:c>
      <x:c r="W57" s="197" t="str">
        <x:f>IF(OR(V57="",S57="",S57=0),"",V57/S57)</x:f>
      </x:c>
      <x:c r="X57" s="198" t="str">
        <x:f>IF(V57="","",IF(V57&gt;0,"Win",IF(V57&lt;0,"Loss","BE")))</x:f>
      </x:c>
      <x:c r="Y57" s="194"/>
      <x:c r="Z57" s="194"/>
      <x:c r="AA57" s="194"/>
      <x:c r="AB57" s="194"/>
      <x:c r="AC57" s="194"/>
      <x:c r="AD57" s="196" t="str">
        <x:f>IF(A57="","",SUM($V$4:V57))</x:f>
      </x:c>
      <x:c r="AE57" s="196" t="str">
        <x:f>IF(AD57="","",MAX(0,$AD$4:AD57))</x:f>
      </x:c>
      <x:c r="AF57" s="199" t="str">
        <x:f>IF(AD57="","",AD57-AE57)</x:f>
      </x:c>
    </x:row>
    <x:row r="58">
      <x:c r="A58" s="192"/>
      <x:c r="B58" s="193"/>
      <x:c r="C58" s="193"/>
      <x:c r="D58" s="194"/>
      <x:c r="E58" s="194"/>
      <x:c r="F58" s="194"/>
      <x:c r="G58" s="194"/>
      <x:c r="H58" s="194"/>
      <x:c r="I58" s="194"/>
      <x:c r="J58" s="194"/>
      <x:c r="K58" s="194"/>
      <x:c r="L58" s="194"/>
      <x:c r="M58" s="195"/>
      <x:c r="N58" s="195"/>
      <x:c r="O58" s="195"/>
      <x:c r="P58" s="195"/>
      <x:c r="Q58" s="195"/>
      <x:c r="R58" s="195"/>
      <x:c r="S58" s="196" t="str">
        <x:f>IF(OR(M58="",N58="",Q58="",M58=0),"",ABS((M58-N58)/M58*Q58))</x:f>
      </x:c>
      <x:c r="T58" s="196" t="str">
        <x:f>IF(OR(M58="",N58="",O58="",M58=N58),"",ABS((O58-M58)/(M58-N58)))</x:f>
      </x:c>
      <x:c r="U58" s="195"/>
      <x:c r="V58" s="196" t="str">
        <x:f>IF(U58&lt;&gt;"",U58,IF(OR(P58="",M58="",Q58="",E58=""),"",IF(E58="做多",(P58-M58)/M58*Q58-R58,(M58-P58)/M58*Q58-R58)))</x:f>
      </x:c>
      <x:c r="W58" s="197" t="str">
        <x:f>IF(OR(V58="",S58="",S58=0),"",V58/S58)</x:f>
      </x:c>
      <x:c r="X58" s="198" t="str">
        <x:f>IF(V58="","",IF(V58&gt;0,"Win",IF(V58&lt;0,"Loss","BE")))</x:f>
      </x:c>
      <x:c r="Y58" s="194"/>
      <x:c r="Z58" s="194"/>
      <x:c r="AA58" s="194"/>
      <x:c r="AB58" s="194"/>
      <x:c r="AC58" s="194"/>
      <x:c r="AD58" s="196" t="str">
        <x:f>IF(A58="","",SUM($V$4:V58))</x:f>
      </x:c>
      <x:c r="AE58" s="196" t="str">
        <x:f>IF(AD58="","",MAX(0,$AD$4:AD58))</x:f>
      </x:c>
      <x:c r="AF58" s="199" t="str">
        <x:f>IF(AD58="","",AD58-AE58)</x:f>
      </x:c>
    </x:row>
    <x:row r="59">
      <x:c r="A59" s="192"/>
      <x:c r="B59" s="193"/>
      <x:c r="C59" s="193"/>
      <x:c r="D59" s="194"/>
      <x:c r="E59" s="194"/>
      <x:c r="F59" s="194"/>
      <x:c r="G59" s="194"/>
      <x:c r="H59" s="194"/>
      <x:c r="I59" s="194"/>
      <x:c r="J59" s="194"/>
      <x:c r="K59" s="194"/>
      <x:c r="L59" s="194"/>
      <x:c r="M59" s="195"/>
      <x:c r="N59" s="195"/>
      <x:c r="O59" s="195"/>
      <x:c r="P59" s="195"/>
      <x:c r="Q59" s="195"/>
      <x:c r="R59" s="195"/>
      <x:c r="S59" s="196" t="str">
        <x:f>IF(OR(M59="",N59="",Q59="",M59=0),"",ABS((M59-N59)/M59*Q59))</x:f>
      </x:c>
      <x:c r="T59" s="196" t="str">
        <x:f>IF(OR(M59="",N59="",O59="",M59=N59),"",ABS((O59-M59)/(M59-N59)))</x:f>
      </x:c>
      <x:c r="U59" s="195"/>
      <x:c r="V59" s="196" t="str">
        <x:f>IF(U59&lt;&gt;"",U59,IF(OR(P59="",M59="",Q59="",E59=""),"",IF(E59="做多",(P59-M59)/M59*Q59-R59,(M59-P59)/M59*Q59-R59)))</x:f>
      </x:c>
      <x:c r="W59" s="197" t="str">
        <x:f>IF(OR(V59="",S59="",S59=0),"",V59/S59)</x:f>
      </x:c>
      <x:c r="X59" s="198" t="str">
        <x:f>IF(V59="","",IF(V59&gt;0,"Win",IF(V59&lt;0,"Loss","BE")))</x:f>
      </x:c>
      <x:c r="Y59" s="194"/>
      <x:c r="Z59" s="194"/>
      <x:c r="AA59" s="194"/>
      <x:c r="AB59" s="194"/>
      <x:c r="AC59" s="194"/>
      <x:c r="AD59" s="196" t="str">
        <x:f>IF(A59="","",SUM($V$4:V59))</x:f>
      </x:c>
      <x:c r="AE59" s="196" t="str">
        <x:f>IF(AD59="","",MAX(0,$AD$4:AD59))</x:f>
      </x:c>
      <x:c r="AF59" s="199" t="str">
        <x:f>IF(AD59="","",AD59-AE59)</x:f>
      </x:c>
    </x:row>
    <x:row r="60">
      <x:c r="A60" s="192"/>
      <x:c r="B60" s="193"/>
      <x:c r="C60" s="193"/>
      <x:c r="D60" s="194"/>
      <x:c r="E60" s="194"/>
      <x:c r="F60" s="194"/>
      <x:c r="G60" s="194"/>
      <x:c r="H60" s="194"/>
      <x:c r="I60" s="194"/>
      <x:c r="J60" s="194"/>
      <x:c r="K60" s="194"/>
      <x:c r="L60" s="194"/>
      <x:c r="M60" s="195"/>
      <x:c r="N60" s="195"/>
      <x:c r="O60" s="195"/>
      <x:c r="P60" s="195"/>
      <x:c r="Q60" s="195"/>
      <x:c r="R60" s="195"/>
      <x:c r="S60" s="196" t="str">
        <x:f>IF(OR(M60="",N60="",Q60="",M60=0),"",ABS((M60-N60)/M60*Q60))</x:f>
      </x:c>
      <x:c r="T60" s="196" t="str">
        <x:f>IF(OR(M60="",N60="",O60="",M60=N60),"",ABS((O60-M60)/(M60-N60)))</x:f>
      </x:c>
      <x:c r="U60" s="195"/>
      <x:c r="V60" s="196" t="str">
        <x:f>IF(U60&lt;&gt;"",U60,IF(OR(P60="",M60="",Q60="",E60=""),"",IF(E60="做多",(P60-M60)/M60*Q60-R60,(M60-P60)/M60*Q60-R60)))</x:f>
      </x:c>
      <x:c r="W60" s="197" t="str">
        <x:f>IF(OR(V60="",S60="",S60=0),"",V60/S60)</x:f>
      </x:c>
      <x:c r="X60" s="198" t="str">
        <x:f>IF(V60="","",IF(V60&gt;0,"Win",IF(V60&lt;0,"Loss","BE")))</x:f>
      </x:c>
      <x:c r="Y60" s="194"/>
      <x:c r="Z60" s="194"/>
      <x:c r="AA60" s="194"/>
      <x:c r="AB60" s="194"/>
      <x:c r="AC60" s="194"/>
      <x:c r="AD60" s="196" t="str">
        <x:f>IF(A60="","",SUM($V$4:V60))</x:f>
      </x:c>
      <x:c r="AE60" s="196" t="str">
        <x:f>IF(AD60="","",MAX(0,$AD$4:AD60))</x:f>
      </x:c>
      <x:c r="AF60" s="199" t="str">
        <x:f>IF(AD60="","",AD60-AE60)</x:f>
      </x:c>
    </x:row>
    <x:row r="61">
      <x:c r="A61" s="192"/>
      <x:c r="B61" s="193"/>
      <x:c r="C61" s="193"/>
      <x:c r="D61" s="194"/>
      <x:c r="E61" s="194"/>
      <x:c r="F61" s="194"/>
      <x:c r="G61" s="194"/>
      <x:c r="H61" s="194"/>
      <x:c r="I61" s="194"/>
      <x:c r="J61" s="194"/>
      <x:c r="K61" s="194"/>
      <x:c r="L61" s="194"/>
      <x:c r="M61" s="195"/>
      <x:c r="N61" s="195"/>
      <x:c r="O61" s="195"/>
      <x:c r="P61" s="195"/>
      <x:c r="Q61" s="195"/>
      <x:c r="R61" s="195"/>
      <x:c r="S61" s="196" t="str">
        <x:f>IF(OR(M61="",N61="",Q61="",M61=0),"",ABS((M61-N61)/M61*Q61))</x:f>
      </x:c>
      <x:c r="T61" s="196" t="str">
        <x:f>IF(OR(M61="",N61="",O61="",M61=N61),"",ABS((O61-M61)/(M61-N61)))</x:f>
      </x:c>
      <x:c r="U61" s="195"/>
      <x:c r="V61" s="196" t="str">
        <x:f>IF(U61&lt;&gt;"",U61,IF(OR(P61="",M61="",Q61="",E61=""),"",IF(E61="做多",(P61-M61)/M61*Q61-R61,(M61-P61)/M61*Q61-R61)))</x:f>
      </x:c>
      <x:c r="W61" s="197" t="str">
        <x:f>IF(OR(V61="",S61="",S61=0),"",V61/S61)</x:f>
      </x:c>
      <x:c r="X61" s="198" t="str">
        <x:f>IF(V61="","",IF(V61&gt;0,"Win",IF(V61&lt;0,"Loss","BE")))</x:f>
      </x:c>
      <x:c r="Y61" s="194"/>
      <x:c r="Z61" s="194"/>
      <x:c r="AA61" s="194"/>
      <x:c r="AB61" s="194"/>
      <x:c r="AC61" s="194"/>
      <x:c r="AD61" s="196" t="str">
        <x:f>IF(A61="","",SUM($V$4:V61))</x:f>
      </x:c>
      <x:c r="AE61" s="196" t="str">
        <x:f>IF(AD61="","",MAX(0,$AD$4:AD61))</x:f>
      </x:c>
      <x:c r="AF61" s="199" t="str">
        <x:f>IF(AD61="","",AD61-AE61)</x:f>
      </x:c>
    </x:row>
    <x:row r="62">
      <x:c r="A62" s="192"/>
      <x:c r="B62" s="193"/>
      <x:c r="C62" s="193"/>
      <x:c r="D62" s="194"/>
      <x:c r="E62" s="194"/>
      <x:c r="F62" s="194"/>
      <x:c r="G62" s="194"/>
      <x:c r="H62" s="194"/>
      <x:c r="I62" s="194"/>
      <x:c r="J62" s="194"/>
      <x:c r="K62" s="194"/>
      <x:c r="L62" s="194"/>
      <x:c r="M62" s="195"/>
      <x:c r="N62" s="195"/>
      <x:c r="O62" s="195"/>
      <x:c r="P62" s="195"/>
      <x:c r="Q62" s="195"/>
      <x:c r="R62" s="195"/>
      <x:c r="S62" s="196" t="str">
        <x:f>IF(OR(M62="",N62="",Q62="",M62=0),"",ABS((M62-N62)/M62*Q62))</x:f>
      </x:c>
      <x:c r="T62" s="196" t="str">
        <x:f>IF(OR(M62="",N62="",O62="",M62=N62),"",ABS((O62-M62)/(M62-N62)))</x:f>
      </x:c>
      <x:c r="U62" s="195"/>
      <x:c r="V62" s="196" t="str">
        <x:f>IF(U62&lt;&gt;"",U62,IF(OR(P62="",M62="",Q62="",E62=""),"",IF(E62="做多",(P62-M62)/M62*Q62-R62,(M62-P62)/M62*Q62-R62)))</x:f>
      </x:c>
      <x:c r="W62" s="197" t="str">
        <x:f>IF(OR(V62="",S62="",S62=0),"",V62/S62)</x:f>
      </x:c>
      <x:c r="X62" s="198" t="str">
        <x:f>IF(V62="","",IF(V62&gt;0,"Win",IF(V62&lt;0,"Loss","BE")))</x:f>
      </x:c>
      <x:c r="Y62" s="194"/>
      <x:c r="Z62" s="194"/>
      <x:c r="AA62" s="194"/>
      <x:c r="AB62" s="194"/>
      <x:c r="AC62" s="194"/>
      <x:c r="AD62" s="196" t="str">
        <x:f>IF(A62="","",SUM($V$4:V62))</x:f>
      </x:c>
      <x:c r="AE62" s="196" t="str">
        <x:f>IF(AD62="","",MAX(0,$AD$4:AD62))</x:f>
      </x:c>
      <x:c r="AF62" s="199" t="str">
        <x:f>IF(AD62="","",AD62-AE62)</x:f>
      </x:c>
    </x:row>
    <x:row r="63">
      <x:c r="A63" s="192"/>
      <x:c r="B63" s="193"/>
      <x:c r="C63" s="193"/>
      <x:c r="D63" s="194"/>
      <x:c r="E63" s="194"/>
      <x:c r="F63" s="194"/>
      <x:c r="G63" s="194"/>
      <x:c r="H63" s="194"/>
      <x:c r="I63" s="194"/>
      <x:c r="J63" s="194"/>
      <x:c r="K63" s="194"/>
      <x:c r="L63" s="194"/>
      <x:c r="M63" s="195"/>
      <x:c r="N63" s="195"/>
      <x:c r="O63" s="195"/>
      <x:c r="P63" s="195"/>
      <x:c r="Q63" s="195"/>
      <x:c r="R63" s="195"/>
      <x:c r="S63" s="196" t="str">
        <x:f>IF(OR(M63="",N63="",Q63="",M63=0),"",ABS((M63-N63)/M63*Q63))</x:f>
      </x:c>
      <x:c r="T63" s="196" t="str">
        <x:f>IF(OR(M63="",N63="",O63="",M63=N63),"",ABS((O63-M63)/(M63-N63)))</x:f>
      </x:c>
      <x:c r="U63" s="195"/>
      <x:c r="V63" s="196" t="str">
        <x:f>IF(U63&lt;&gt;"",U63,IF(OR(P63="",M63="",Q63="",E63=""),"",IF(E63="做多",(P63-M63)/M63*Q63-R63,(M63-P63)/M63*Q63-R63)))</x:f>
      </x:c>
      <x:c r="W63" s="197" t="str">
        <x:f>IF(OR(V63="",S63="",S63=0),"",V63/S63)</x:f>
      </x:c>
      <x:c r="X63" s="198" t="str">
        <x:f>IF(V63="","",IF(V63&gt;0,"Win",IF(V63&lt;0,"Loss","BE")))</x:f>
      </x:c>
      <x:c r="Y63" s="194"/>
      <x:c r="Z63" s="194"/>
      <x:c r="AA63" s="194"/>
      <x:c r="AB63" s="194"/>
      <x:c r="AC63" s="194"/>
      <x:c r="AD63" s="196" t="str">
        <x:f>IF(A63="","",SUM($V$4:V63))</x:f>
      </x:c>
      <x:c r="AE63" s="196" t="str">
        <x:f>IF(AD63="","",MAX(0,$AD$4:AD63))</x:f>
      </x:c>
      <x:c r="AF63" s="199" t="str">
        <x:f>IF(AD63="","",AD63-AE63)</x:f>
      </x:c>
    </x:row>
    <x:row r="64">
      <x:c r="A64" s="192"/>
      <x:c r="B64" s="193"/>
      <x:c r="C64" s="193"/>
      <x:c r="D64" s="194"/>
      <x:c r="E64" s="194"/>
      <x:c r="F64" s="194"/>
      <x:c r="G64" s="194"/>
      <x:c r="H64" s="194"/>
      <x:c r="I64" s="194"/>
      <x:c r="J64" s="194"/>
      <x:c r="K64" s="194"/>
      <x:c r="L64" s="194"/>
      <x:c r="M64" s="195"/>
      <x:c r="N64" s="195"/>
      <x:c r="O64" s="195"/>
      <x:c r="P64" s="195"/>
      <x:c r="Q64" s="195"/>
      <x:c r="R64" s="195"/>
      <x:c r="S64" s="196" t="str">
        <x:f>IF(OR(M64="",N64="",Q64="",M64=0),"",ABS((M64-N64)/M64*Q64))</x:f>
      </x:c>
      <x:c r="T64" s="196" t="str">
        <x:f>IF(OR(M64="",N64="",O64="",M64=N64),"",ABS((O64-M64)/(M64-N64)))</x:f>
      </x:c>
      <x:c r="U64" s="195"/>
      <x:c r="V64" s="196" t="str">
        <x:f>IF(U64&lt;&gt;"",U64,IF(OR(P64="",M64="",Q64="",E64=""),"",IF(E64="做多",(P64-M64)/M64*Q64-R64,(M64-P64)/M64*Q64-R64)))</x:f>
      </x:c>
      <x:c r="W64" s="197" t="str">
        <x:f>IF(OR(V64="",S64="",S64=0),"",V64/S64)</x:f>
      </x:c>
      <x:c r="X64" s="198" t="str">
        <x:f>IF(V64="","",IF(V64&gt;0,"Win",IF(V64&lt;0,"Loss","BE")))</x:f>
      </x:c>
      <x:c r="Y64" s="194"/>
      <x:c r="Z64" s="194"/>
      <x:c r="AA64" s="194"/>
      <x:c r="AB64" s="194"/>
      <x:c r="AC64" s="194"/>
      <x:c r="AD64" s="196" t="str">
        <x:f>IF(A64="","",SUM($V$4:V64))</x:f>
      </x:c>
      <x:c r="AE64" s="196" t="str">
        <x:f>IF(AD64="","",MAX(0,$AD$4:AD64))</x:f>
      </x:c>
      <x:c r="AF64" s="199" t="str">
        <x:f>IF(AD64="","",AD64-AE64)</x:f>
      </x:c>
    </x:row>
    <x:row r="65">
      <x:c r="A65" s="192"/>
      <x:c r="B65" s="193"/>
      <x:c r="C65" s="193"/>
      <x:c r="D65" s="194"/>
      <x:c r="E65" s="194"/>
      <x:c r="F65" s="194"/>
      <x:c r="G65" s="194"/>
      <x:c r="H65" s="194"/>
      <x:c r="I65" s="194"/>
      <x:c r="J65" s="194"/>
      <x:c r="K65" s="194"/>
      <x:c r="L65" s="194"/>
      <x:c r="M65" s="195"/>
      <x:c r="N65" s="195"/>
      <x:c r="O65" s="195"/>
      <x:c r="P65" s="195"/>
      <x:c r="Q65" s="195"/>
      <x:c r="R65" s="195"/>
      <x:c r="S65" s="196" t="str">
        <x:f>IF(OR(M65="",N65="",Q65="",M65=0),"",ABS((M65-N65)/M65*Q65))</x:f>
      </x:c>
      <x:c r="T65" s="196" t="str">
        <x:f>IF(OR(M65="",N65="",O65="",M65=N65),"",ABS((O65-M65)/(M65-N65)))</x:f>
      </x:c>
      <x:c r="U65" s="195"/>
      <x:c r="V65" s="196" t="str">
        <x:f>IF(U65&lt;&gt;"",U65,IF(OR(P65="",M65="",Q65="",E65=""),"",IF(E65="做多",(P65-M65)/M65*Q65-R65,(M65-P65)/M65*Q65-R65)))</x:f>
      </x:c>
      <x:c r="W65" s="197" t="str">
        <x:f>IF(OR(V65="",S65="",S65=0),"",V65/S65)</x:f>
      </x:c>
      <x:c r="X65" s="198" t="str">
        <x:f>IF(V65="","",IF(V65&gt;0,"Win",IF(V65&lt;0,"Loss","BE")))</x:f>
      </x:c>
      <x:c r="Y65" s="194"/>
      <x:c r="Z65" s="194"/>
      <x:c r="AA65" s="194"/>
      <x:c r="AB65" s="194"/>
      <x:c r="AC65" s="194"/>
      <x:c r="AD65" s="196" t="str">
        <x:f>IF(A65="","",SUM($V$4:V65))</x:f>
      </x:c>
      <x:c r="AE65" s="196" t="str">
        <x:f>IF(AD65="","",MAX(0,$AD$4:AD65))</x:f>
      </x:c>
      <x:c r="AF65" s="199" t="str">
        <x:f>IF(AD65="","",AD65-AE65)</x:f>
      </x:c>
    </x:row>
    <x:row r="66">
      <x:c r="A66" s="192"/>
      <x:c r="B66" s="193"/>
      <x:c r="C66" s="193"/>
      <x:c r="D66" s="194"/>
      <x:c r="E66" s="194"/>
      <x:c r="F66" s="194"/>
      <x:c r="G66" s="194"/>
      <x:c r="H66" s="194"/>
      <x:c r="I66" s="194"/>
      <x:c r="J66" s="194"/>
      <x:c r="K66" s="194"/>
      <x:c r="L66" s="194"/>
      <x:c r="M66" s="195"/>
      <x:c r="N66" s="195"/>
      <x:c r="O66" s="195"/>
      <x:c r="P66" s="195"/>
      <x:c r="Q66" s="195"/>
      <x:c r="R66" s="195"/>
      <x:c r="S66" s="196" t="str">
        <x:f>IF(OR(M66="",N66="",Q66="",M66=0),"",ABS((M66-N66)/M66*Q66))</x:f>
      </x:c>
      <x:c r="T66" s="196" t="str">
        <x:f>IF(OR(M66="",N66="",O66="",M66=N66),"",ABS((O66-M66)/(M66-N66)))</x:f>
      </x:c>
      <x:c r="U66" s="195"/>
      <x:c r="V66" s="196" t="str">
        <x:f>IF(U66&lt;&gt;"",U66,IF(OR(P66="",M66="",Q66="",E66=""),"",IF(E66="做多",(P66-M66)/M66*Q66-R66,(M66-P66)/M66*Q66-R66)))</x:f>
      </x:c>
      <x:c r="W66" s="197" t="str">
        <x:f>IF(OR(V66="",S66="",S66=0),"",V66/S66)</x:f>
      </x:c>
      <x:c r="X66" s="198" t="str">
        <x:f>IF(V66="","",IF(V66&gt;0,"Win",IF(V66&lt;0,"Loss","BE")))</x:f>
      </x:c>
      <x:c r="Y66" s="194"/>
      <x:c r="Z66" s="194"/>
      <x:c r="AA66" s="194"/>
      <x:c r="AB66" s="194"/>
      <x:c r="AC66" s="194"/>
      <x:c r="AD66" s="196" t="str">
        <x:f>IF(A66="","",SUM($V$4:V66))</x:f>
      </x:c>
      <x:c r="AE66" s="196" t="str">
        <x:f>IF(AD66="","",MAX(0,$AD$4:AD66))</x:f>
      </x:c>
      <x:c r="AF66" s="199" t="str">
        <x:f>IF(AD66="","",AD66-AE66)</x:f>
      </x:c>
    </x:row>
    <x:row r="67">
      <x:c r="A67" s="192"/>
      <x:c r="B67" s="193"/>
      <x:c r="C67" s="193"/>
      <x:c r="D67" s="194"/>
      <x:c r="E67" s="194"/>
      <x:c r="F67" s="194"/>
      <x:c r="G67" s="194"/>
      <x:c r="H67" s="194"/>
      <x:c r="I67" s="194"/>
      <x:c r="J67" s="194"/>
      <x:c r="K67" s="194"/>
      <x:c r="L67" s="194"/>
      <x:c r="M67" s="195"/>
      <x:c r="N67" s="195"/>
      <x:c r="O67" s="195"/>
      <x:c r="P67" s="195"/>
      <x:c r="Q67" s="195"/>
      <x:c r="R67" s="195"/>
      <x:c r="S67" s="196" t="str">
        <x:f>IF(OR(M67="",N67="",Q67="",M67=0),"",ABS((M67-N67)/M67*Q67))</x:f>
      </x:c>
      <x:c r="T67" s="196" t="str">
        <x:f>IF(OR(M67="",N67="",O67="",M67=N67),"",ABS((O67-M67)/(M67-N67)))</x:f>
      </x:c>
      <x:c r="U67" s="195"/>
      <x:c r="V67" s="196" t="str">
        <x:f>IF(U67&lt;&gt;"",U67,IF(OR(P67="",M67="",Q67="",E67=""),"",IF(E67="做多",(P67-M67)/M67*Q67-R67,(M67-P67)/M67*Q67-R67)))</x:f>
      </x:c>
      <x:c r="W67" s="197" t="str">
        <x:f>IF(OR(V67="",S67="",S67=0),"",V67/S67)</x:f>
      </x:c>
      <x:c r="X67" s="198" t="str">
        <x:f>IF(V67="","",IF(V67&gt;0,"Win",IF(V67&lt;0,"Loss","BE")))</x:f>
      </x:c>
      <x:c r="Y67" s="194"/>
      <x:c r="Z67" s="194"/>
      <x:c r="AA67" s="194"/>
      <x:c r="AB67" s="194"/>
      <x:c r="AC67" s="194"/>
      <x:c r="AD67" s="196" t="str">
        <x:f>IF(A67="","",SUM($V$4:V67))</x:f>
      </x:c>
      <x:c r="AE67" s="196" t="str">
        <x:f>IF(AD67="","",MAX(0,$AD$4:AD67))</x:f>
      </x:c>
      <x:c r="AF67" s="199" t="str">
        <x:f>IF(AD67="","",AD67-AE67)</x:f>
      </x:c>
    </x:row>
    <x:row r="68">
      <x:c r="A68" s="192"/>
      <x:c r="B68" s="193"/>
      <x:c r="C68" s="193"/>
      <x:c r="D68" s="194"/>
      <x:c r="E68" s="194"/>
      <x:c r="F68" s="194"/>
      <x:c r="G68" s="194"/>
      <x:c r="H68" s="194"/>
      <x:c r="I68" s="194"/>
      <x:c r="J68" s="194"/>
      <x:c r="K68" s="194"/>
      <x:c r="L68" s="194"/>
      <x:c r="M68" s="195"/>
      <x:c r="N68" s="195"/>
      <x:c r="O68" s="195"/>
      <x:c r="P68" s="195"/>
      <x:c r="Q68" s="195"/>
      <x:c r="R68" s="195"/>
      <x:c r="S68" s="196" t="str">
        <x:f>IF(OR(M68="",N68="",Q68="",M68=0),"",ABS((M68-N68)/M68*Q68))</x:f>
      </x:c>
      <x:c r="T68" s="196" t="str">
        <x:f>IF(OR(M68="",N68="",O68="",M68=N68),"",ABS((O68-M68)/(M68-N68)))</x:f>
      </x:c>
      <x:c r="U68" s="195"/>
      <x:c r="V68" s="196" t="str">
        <x:f>IF(U68&lt;&gt;"",U68,IF(OR(P68="",M68="",Q68="",E68=""),"",IF(E68="做多",(P68-M68)/M68*Q68-R68,(M68-P68)/M68*Q68-R68)))</x:f>
      </x:c>
      <x:c r="W68" s="197" t="str">
        <x:f>IF(OR(V68="",S68="",S68=0),"",V68/S68)</x:f>
      </x:c>
      <x:c r="X68" s="198" t="str">
        <x:f>IF(V68="","",IF(V68&gt;0,"Win",IF(V68&lt;0,"Loss","BE")))</x:f>
      </x:c>
      <x:c r="Y68" s="194"/>
      <x:c r="Z68" s="194"/>
      <x:c r="AA68" s="194"/>
      <x:c r="AB68" s="194"/>
      <x:c r="AC68" s="194"/>
      <x:c r="AD68" s="196" t="str">
        <x:f>IF(A68="","",SUM($V$4:V68))</x:f>
      </x:c>
      <x:c r="AE68" s="196" t="str">
        <x:f>IF(AD68="","",MAX(0,$AD$4:AD68))</x:f>
      </x:c>
      <x:c r="AF68" s="199" t="str">
        <x:f>IF(AD68="","",AD68-AE68)</x:f>
      </x:c>
    </x:row>
    <x:row r="69">
      <x:c r="A69" s="192"/>
      <x:c r="B69" s="193"/>
      <x:c r="C69" s="193"/>
      <x:c r="D69" s="194"/>
      <x:c r="E69" s="194"/>
      <x:c r="F69" s="194"/>
      <x:c r="G69" s="194"/>
      <x:c r="H69" s="194"/>
      <x:c r="I69" s="194"/>
      <x:c r="J69" s="194"/>
      <x:c r="K69" s="194"/>
      <x:c r="L69" s="194"/>
      <x:c r="M69" s="195"/>
      <x:c r="N69" s="195"/>
      <x:c r="O69" s="195"/>
      <x:c r="P69" s="195"/>
      <x:c r="Q69" s="195"/>
      <x:c r="R69" s="195"/>
      <x:c r="S69" s="196" t="str">
        <x:f>IF(OR(M69="",N69="",Q69="",M69=0),"",ABS((M69-N69)/M69*Q69))</x:f>
      </x:c>
      <x:c r="T69" s="196" t="str">
        <x:f>IF(OR(M69="",N69="",O69="",M69=N69),"",ABS((O69-M69)/(M69-N69)))</x:f>
      </x:c>
      <x:c r="U69" s="195"/>
      <x:c r="V69" s="196" t="str">
        <x:f>IF(U69&lt;&gt;"",U69,IF(OR(P69="",M69="",Q69="",E69=""),"",IF(E69="做多",(P69-M69)/M69*Q69-R69,(M69-P69)/M69*Q69-R69)))</x:f>
      </x:c>
      <x:c r="W69" s="197" t="str">
        <x:f>IF(OR(V69="",S69="",S69=0),"",V69/S69)</x:f>
      </x:c>
      <x:c r="X69" s="198" t="str">
        <x:f>IF(V69="","",IF(V69&gt;0,"Win",IF(V69&lt;0,"Loss","BE")))</x:f>
      </x:c>
      <x:c r="Y69" s="194"/>
      <x:c r="Z69" s="194"/>
      <x:c r="AA69" s="194"/>
      <x:c r="AB69" s="194"/>
      <x:c r="AC69" s="194"/>
      <x:c r="AD69" s="196" t="str">
        <x:f>IF(A69="","",SUM($V$4:V69))</x:f>
      </x:c>
      <x:c r="AE69" s="196" t="str">
        <x:f>IF(AD69="","",MAX(0,$AD$4:AD69))</x:f>
      </x:c>
      <x:c r="AF69" s="199" t="str">
        <x:f>IF(AD69="","",AD69-AE69)</x:f>
      </x:c>
    </x:row>
    <x:row r="70">
      <x:c r="A70" s="192"/>
      <x:c r="B70" s="193"/>
      <x:c r="C70" s="193"/>
      <x:c r="D70" s="194"/>
      <x:c r="E70" s="194"/>
      <x:c r="F70" s="194"/>
      <x:c r="G70" s="194"/>
      <x:c r="H70" s="194"/>
      <x:c r="I70" s="194"/>
      <x:c r="J70" s="194"/>
      <x:c r="K70" s="194"/>
      <x:c r="L70" s="194"/>
      <x:c r="M70" s="195"/>
      <x:c r="N70" s="195"/>
      <x:c r="O70" s="195"/>
      <x:c r="P70" s="195"/>
      <x:c r="Q70" s="195"/>
      <x:c r="R70" s="195"/>
      <x:c r="S70" s="196" t="str">
        <x:f>IF(OR(M70="",N70="",Q70="",M70=0),"",ABS((M70-N70)/M70*Q70))</x:f>
      </x:c>
      <x:c r="T70" s="196" t="str">
        <x:f>IF(OR(M70="",N70="",O70="",M70=N70),"",ABS((O70-M70)/(M70-N70)))</x:f>
      </x:c>
      <x:c r="U70" s="195"/>
      <x:c r="V70" s="196" t="str">
        <x:f>IF(U70&lt;&gt;"",U70,IF(OR(P70="",M70="",Q70="",E70=""),"",IF(E70="做多",(P70-M70)/M70*Q70-R70,(M70-P70)/M70*Q70-R70)))</x:f>
      </x:c>
      <x:c r="W70" s="197" t="str">
        <x:f>IF(OR(V70="",S70="",S70=0),"",V70/S70)</x:f>
      </x:c>
      <x:c r="X70" s="198" t="str">
        <x:f>IF(V70="","",IF(V70&gt;0,"Win",IF(V70&lt;0,"Loss","BE")))</x:f>
      </x:c>
      <x:c r="Y70" s="194"/>
      <x:c r="Z70" s="194"/>
      <x:c r="AA70" s="194"/>
      <x:c r="AB70" s="194"/>
      <x:c r="AC70" s="194"/>
      <x:c r="AD70" s="196" t="str">
        <x:f>IF(A70="","",SUM($V$4:V70))</x:f>
      </x:c>
      <x:c r="AE70" s="196" t="str">
        <x:f>IF(AD70="","",MAX(0,$AD$4:AD70))</x:f>
      </x:c>
      <x:c r="AF70" s="199" t="str">
        <x:f>IF(AD70="","",AD70-AE70)</x:f>
      </x:c>
    </x:row>
    <x:row r="71">
      <x:c r="A71" s="192"/>
      <x:c r="B71" s="193"/>
      <x:c r="C71" s="193"/>
      <x:c r="D71" s="194"/>
      <x:c r="E71" s="194"/>
      <x:c r="F71" s="194"/>
      <x:c r="G71" s="194"/>
      <x:c r="H71" s="194"/>
      <x:c r="I71" s="194"/>
      <x:c r="J71" s="194"/>
      <x:c r="K71" s="194"/>
      <x:c r="L71" s="194"/>
      <x:c r="M71" s="195"/>
      <x:c r="N71" s="195"/>
      <x:c r="O71" s="195"/>
      <x:c r="P71" s="195"/>
      <x:c r="Q71" s="195"/>
      <x:c r="R71" s="195"/>
      <x:c r="S71" s="196" t="str">
        <x:f>IF(OR(M71="",N71="",Q71="",M71=0),"",ABS((M71-N71)/M71*Q71))</x:f>
      </x:c>
      <x:c r="T71" s="196" t="str">
        <x:f>IF(OR(M71="",N71="",O71="",M71=N71),"",ABS((O71-M71)/(M71-N71)))</x:f>
      </x:c>
      <x:c r="U71" s="195"/>
      <x:c r="V71" s="196" t="str">
        <x:f>IF(U71&lt;&gt;"",U71,IF(OR(P71="",M71="",Q71="",E71=""),"",IF(E71="做多",(P71-M71)/M71*Q71-R71,(M71-P71)/M71*Q71-R71)))</x:f>
      </x:c>
      <x:c r="W71" s="197" t="str">
        <x:f>IF(OR(V71="",S71="",S71=0),"",V71/S71)</x:f>
      </x:c>
      <x:c r="X71" s="198" t="str">
        <x:f>IF(V71="","",IF(V71&gt;0,"Win",IF(V71&lt;0,"Loss","BE")))</x:f>
      </x:c>
      <x:c r="Y71" s="194"/>
      <x:c r="Z71" s="194"/>
      <x:c r="AA71" s="194"/>
      <x:c r="AB71" s="194"/>
      <x:c r="AC71" s="194"/>
      <x:c r="AD71" s="196" t="str">
        <x:f>IF(A71="","",SUM($V$4:V71))</x:f>
      </x:c>
      <x:c r="AE71" s="196" t="str">
        <x:f>IF(AD71="","",MAX(0,$AD$4:AD71))</x:f>
      </x:c>
      <x:c r="AF71" s="199" t="str">
        <x:f>IF(AD71="","",AD71-AE71)</x:f>
      </x:c>
    </x:row>
    <x:row r="72">
      <x:c r="A72" s="192"/>
      <x:c r="B72" s="193"/>
      <x:c r="C72" s="193"/>
      <x:c r="D72" s="194"/>
      <x:c r="E72" s="194"/>
      <x:c r="F72" s="194"/>
      <x:c r="G72" s="194"/>
      <x:c r="H72" s="194"/>
      <x:c r="I72" s="194"/>
      <x:c r="J72" s="194"/>
      <x:c r="K72" s="194"/>
      <x:c r="L72" s="194"/>
      <x:c r="M72" s="195"/>
      <x:c r="N72" s="195"/>
      <x:c r="O72" s="195"/>
      <x:c r="P72" s="195"/>
      <x:c r="Q72" s="195"/>
      <x:c r="R72" s="195"/>
      <x:c r="S72" s="196" t="str">
        <x:f>IF(OR(M72="",N72="",Q72="",M72=0),"",ABS((M72-N72)/M72*Q72))</x:f>
      </x:c>
      <x:c r="T72" s="196" t="str">
        <x:f>IF(OR(M72="",N72="",O72="",M72=N72),"",ABS((O72-M72)/(M72-N72)))</x:f>
      </x:c>
      <x:c r="U72" s="195"/>
      <x:c r="V72" s="196" t="str">
        <x:f>IF(U72&lt;&gt;"",U72,IF(OR(P72="",M72="",Q72="",E72=""),"",IF(E72="做多",(P72-M72)/M72*Q72-R72,(M72-P72)/M72*Q72-R72)))</x:f>
      </x:c>
      <x:c r="W72" s="197" t="str">
        <x:f>IF(OR(V72="",S72="",S72=0),"",V72/S72)</x:f>
      </x:c>
      <x:c r="X72" s="198" t="str">
        <x:f>IF(V72="","",IF(V72&gt;0,"Win",IF(V72&lt;0,"Loss","BE")))</x:f>
      </x:c>
      <x:c r="Y72" s="194"/>
      <x:c r="Z72" s="194"/>
      <x:c r="AA72" s="194"/>
      <x:c r="AB72" s="194"/>
      <x:c r="AC72" s="194"/>
      <x:c r="AD72" s="196" t="str">
        <x:f>IF(A72="","",SUM($V$4:V72))</x:f>
      </x:c>
      <x:c r="AE72" s="196" t="str">
        <x:f>IF(AD72="","",MAX(0,$AD$4:AD72))</x:f>
      </x:c>
      <x:c r="AF72" s="199" t="str">
        <x:f>IF(AD72="","",AD72-AE72)</x:f>
      </x:c>
    </x:row>
    <x:row r="73">
      <x:c r="A73" s="192"/>
      <x:c r="B73" s="193"/>
      <x:c r="C73" s="193"/>
      <x:c r="D73" s="194"/>
      <x:c r="E73" s="194"/>
      <x:c r="F73" s="194"/>
      <x:c r="G73" s="194"/>
      <x:c r="H73" s="194"/>
      <x:c r="I73" s="194"/>
      <x:c r="J73" s="194"/>
      <x:c r="K73" s="194"/>
      <x:c r="L73" s="194"/>
      <x:c r="M73" s="195"/>
      <x:c r="N73" s="195"/>
      <x:c r="O73" s="195"/>
      <x:c r="P73" s="195"/>
      <x:c r="Q73" s="195"/>
      <x:c r="R73" s="195"/>
      <x:c r="S73" s="196" t="str">
        <x:f>IF(OR(M73="",N73="",Q73="",M73=0),"",ABS((M73-N73)/M73*Q73))</x:f>
      </x:c>
      <x:c r="T73" s="196" t="str">
        <x:f>IF(OR(M73="",N73="",O73="",M73=N73),"",ABS((O73-M73)/(M73-N73)))</x:f>
      </x:c>
      <x:c r="U73" s="195"/>
      <x:c r="V73" s="196" t="str">
        <x:f>IF(U73&lt;&gt;"",U73,IF(OR(P73="",M73="",Q73="",E73=""),"",IF(E73="做多",(P73-M73)/M73*Q73-R73,(M73-P73)/M73*Q73-R73)))</x:f>
      </x:c>
      <x:c r="W73" s="197" t="str">
        <x:f>IF(OR(V73="",S73="",S73=0),"",V73/S73)</x:f>
      </x:c>
      <x:c r="X73" s="198" t="str">
        <x:f>IF(V73="","",IF(V73&gt;0,"Win",IF(V73&lt;0,"Loss","BE")))</x:f>
      </x:c>
      <x:c r="Y73" s="194"/>
      <x:c r="Z73" s="194"/>
      <x:c r="AA73" s="194"/>
      <x:c r="AB73" s="194"/>
      <x:c r="AC73" s="194"/>
      <x:c r="AD73" s="196" t="str">
        <x:f>IF(A73="","",SUM($V$4:V73))</x:f>
      </x:c>
      <x:c r="AE73" s="196" t="str">
        <x:f>IF(AD73="","",MAX(0,$AD$4:AD73))</x:f>
      </x:c>
      <x:c r="AF73" s="199" t="str">
        <x:f>IF(AD73="","",AD73-AE73)</x:f>
      </x:c>
    </x:row>
    <x:row r="74">
      <x:c r="A74" s="192"/>
      <x:c r="B74" s="193"/>
      <x:c r="C74" s="193"/>
      <x:c r="D74" s="194"/>
      <x:c r="E74" s="194"/>
      <x:c r="F74" s="194"/>
      <x:c r="G74" s="194"/>
      <x:c r="H74" s="194"/>
      <x:c r="I74" s="194"/>
      <x:c r="J74" s="194"/>
      <x:c r="K74" s="194"/>
      <x:c r="L74" s="194"/>
      <x:c r="M74" s="195"/>
      <x:c r="N74" s="195"/>
      <x:c r="O74" s="195"/>
      <x:c r="P74" s="195"/>
      <x:c r="Q74" s="195"/>
      <x:c r="R74" s="195"/>
      <x:c r="S74" s="196" t="str">
        <x:f>IF(OR(M74="",N74="",Q74="",M74=0),"",ABS((M74-N74)/M74*Q74))</x:f>
      </x:c>
      <x:c r="T74" s="196" t="str">
        <x:f>IF(OR(M74="",N74="",O74="",M74=N74),"",ABS((O74-M74)/(M74-N74)))</x:f>
      </x:c>
      <x:c r="U74" s="195"/>
      <x:c r="V74" s="196" t="str">
        <x:f>IF(U74&lt;&gt;"",U74,IF(OR(P74="",M74="",Q74="",E74=""),"",IF(E74="做多",(P74-M74)/M74*Q74-R74,(M74-P74)/M74*Q74-R74)))</x:f>
      </x:c>
      <x:c r="W74" s="197" t="str">
        <x:f>IF(OR(V74="",S74="",S74=0),"",V74/S74)</x:f>
      </x:c>
      <x:c r="X74" s="198" t="str">
        <x:f>IF(V74="","",IF(V74&gt;0,"Win",IF(V74&lt;0,"Loss","BE")))</x:f>
      </x:c>
      <x:c r="Y74" s="194"/>
      <x:c r="Z74" s="194"/>
      <x:c r="AA74" s="194"/>
      <x:c r="AB74" s="194"/>
      <x:c r="AC74" s="194"/>
      <x:c r="AD74" s="196" t="str">
        <x:f>IF(A74="","",SUM($V$4:V74))</x:f>
      </x:c>
      <x:c r="AE74" s="196" t="str">
        <x:f>IF(AD74="","",MAX(0,$AD$4:AD74))</x:f>
      </x:c>
      <x:c r="AF74" s="199" t="str">
        <x:f>IF(AD74="","",AD74-AE74)</x:f>
      </x:c>
    </x:row>
    <x:row r="75">
      <x:c r="A75" s="192"/>
      <x:c r="B75" s="193"/>
      <x:c r="C75" s="193"/>
      <x:c r="D75" s="194"/>
      <x:c r="E75" s="194"/>
      <x:c r="F75" s="194"/>
      <x:c r="G75" s="194"/>
      <x:c r="H75" s="194"/>
      <x:c r="I75" s="194"/>
      <x:c r="J75" s="194"/>
      <x:c r="K75" s="194"/>
      <x:c r="L75" s="194"/>
      <x:c r="M75" s="195"/>
      <x:c r="N75" s="195"/>
      <x:c r="O75" s="195"/>
      <x:c r="P75" s="195"/>
      <x:c r="Q75" s="195"/>
      <x:c r="R75" s="195"/>
      <x:c r="S75" s="196" t="str">
        <x:f>IF(OR(M75="",N75="",Q75="",M75=0),"",ABS((M75-N75)/M75*Q75))</x:f>
      </x:c>
      <x:c r="T75" s="196" t="str">
        <x:f>IF(OR(M75="",N75="",O75="",M75=N75),"",ABS((O75-M75)/(M75-N75)))</x:f>
      </x:c>
      <x:c r="U75" s="195"/>
      <x:c r="V75" s="196" t="str">
        <x:f>IF(U75&lt;&gt;"",U75,IF(OR(P75="",M75="",Q75="",E75=""),"",IF(E75="做多",(P75-M75)/M75*Q75-R75,(M75-P75)/M75*Q75-R75)))</x:f>
      </x:c>
      <x:c r="W75" s="197" t="str">
        <x:f>IF(OR(V75="",S75="",S75=0),"",V75/S75)</x:f>
      </x:c>
      <x:c r="X75" s="198" t="str">
        <x:f>IF(V75="","",IF(V75&gt;0,"Win",IF(V75&lt;0,"Loss","BE")))</x:f>
      </x:c>
      <x:c r="Y75" s="194"/>
      <x:c r="Z75" s="194"/>
      <x:c r="AA75" s="194"/>
      <x:c r="AB75" s="194"/>
      <x:c r="AC75" s="194"/>
      <x:c r="AD75" s="196" t="str">
        <x:f>IF(A75="","",SUM($V$4:V75))</x:f>
      </x:c>
      <x:c r="AE75" s="196" t="str">
        <x:f>IF(AD75="","",MAX(0,$AD$4:AD75))</x:f>
      </x:c>
      <x:c r="AF75" s="199" t="str">
        <x:f>IF(AD75="","",AD75-AE75)</x:f>
      </x:c>
    </x:row>
    <x:row r="76">
      <x:c r="A76" s="192"/>
      <x:c r="B76" s="193"/>
      <x:c r="C76" s="193"/>
      <x:c r="D76" s="194"/>
      <x:c r="E76" s="194"/>
      <x:c r="F76" s="194"/>
      <x:c r="G76" s="194"/>
      <x:c r="H76" s="194"/>
      <x:c r="I76" s="194"/>
      <x:c r="J76" s="194"/>
      <x:c r="K76" s="194"/>
      <x:c r="L76" s="194"/>
      <x:c r="M76" s="195"/>
      <x:c r="N76" s="195"/>
      <x:c r="O76" s="195"/>
      <x:c r="P76" s="195"/>
      <x:c r="Q76" s="195"/>
      <x:c r="R76" s="195"/>
      <x:c r="S76" s="196" t="str">
        <x:f>IF(OR(M76="",N76="",Q76="",M76=0),"",ABS((M76-N76)/M76*Q76))</x:f>
      </x:c>
      <x:c r="T76" s="196" t="str">
        <x:f>IF(OR(M76="",N76="",O76="",M76=N76),"",ABS((O76-M76)/(M76-N76)))</x:f>
      </x:c>
      <x:c r="U76" s="195"/>
      <x:c r="V76" s="196" t="str">
        <x:f>IF(U76&lt;&gt;"",U76,IF(OR(P76="",M76="",Q76="",E76=""),"",IF(E76="做多",(P76-M76)/M76*Q76-R76,(M76-P76)/M76*Q76-R76)))</x:f>
      </x:c>
      <x:c r="W76" s="197" t="str">
        <x:f>IF(OR(V76="",S76="",S76=0),"",V76/S76)</x:f>
      </x:c>
      <x:c r="X76" s="198" t="str">
        <x:f>IF(V76="","",IF(V76&gt;0,"Win",IF(V76&lt;0,"Loss","BE")))</x:f>
      </x:c>
      <x:c r="Y76" s="194"/>
      <x:c r="Z76" s="194"/>
      <x:c r="AA76" s="194"/>
      <x:c r="AB76" s="194"/>
      <x:c r="AC76" s="194"/>
      <x:c r="AD76" s="196" t="str">
        <x:f>IF(A76="","",SUM($V$4:V76))</x:f>
      </x:c>
      <x:c r="AE76" s="196" t="str">
        <x:f>IF(AD76="","",MAX(0,$AD$4:AD76))</x:f>
      </x:c>
      <x:c r="AF76" s="199" t="str">
        <x:f>IF(AD76="","",AD76-AE76)</x:f>
      </x:c>
    </x:row>
    <x:row r="77">
      <x:c r="A77" s="192"/>
      <x:c r="B77" s="193"/>
      <x:c r="C77" s="193"/>
      <x:c r="D77" s="194"/>
      <x:c r="E77" s="194"/>
      <x:c r="F77" s="194"/>
      <x:c r="G77" s="194"/>
      <x:c r="H77" s="194"/>
      <x:c r="I77" s="194"/>
      <x:c r="J77" s="194"/>
      <x:c r="K77" s="194"/>
      <x:c r="L77" s="194"/>
      <x:c r="M77" s="195"/>
      <x:c r="N77" s="195"/>
      <x:c r="O77" s="195"/>
      <x:c r="P77" s="195"/>
      <x:c r="Q77" s="195"/>
      <x:c r="R77" s="195"/>
      <x:c r="S77" s="196" t="str">
        <x:f>IF(OR(M77="",N77="",Q77="",M77=0),"",ABS((M77-N77)/M77*Q77))</x:f>
      </x:c>
      <x:c r="T77" s="196" t="str">
        <x:f>IF(OR(M77="",N77="",O77="",M77=N77),"",ABS((O77-M77)/(M77-N77)))</x:f>
      </x:c>
      <x:c r="U77" s="195"/>
      <x:c r="V77" s="196" t="str">
        <x:f>IF(U77&lt;&gt;"",U77,IF(OR(P77="",M77="",Q77="",E77=""),"",IF(E77="做多",(P77-M77)/M77*Q77-R77,(M77-P77)/M77*Q77-R77)))</x:f>
      </x:c>
      <x:c r="W77" s="197" t="str">
        <x:f>IF(OR(V77="",S77="",S77=0),"",V77/S77)</x:f>
      </x:c>
      <x:c r="X77" s="198" t="str">
        <x:f>IF(V77="","",IF(V77&gt;0,"Win",IF(V77&lt;0,"Loss","BE")))</x:f>
      </x:c>
      <x:c r="Y77" s="194"/>
      <x:c r="Z77" s="194"/>
      <x:c r="AA77" s="194"/>
      <x:c r="AB77" s="194"/>
      <x:c r="AC77" s="194"/>
      <x:c r="AD77" s="196" t="str">
        <x:f>IF(A77="","",SUM($V$4:V77))</x:f>
      </x:c>
      <x:c r="AE77" s="196" t="str">
        <x:f>IF(AD77="","",MAX(0,$AD$4:AD77))</x:f>
      </x:c>
      <x:c r="AF77" s="199" t="str">
        <x:f>IF(AD77="","",AD77-AE77)</x:f>
      </x:c>
    </x:row>
    <x:row r="78">
      <x:c r="A78" s="192"/>
      <x:c r="B78" s="193"/>
      <x:c r="C78" s="193"/>
      <x:c r="D78" s="194"/>
      <x:c r="E78" s="194"/>
      <x:c r="F78" s="194"/>
      <x:c r="G78" s="194"/>
      <x:c r="H78" s="194"/>
      <x:c r="I78" s="194"/>
      <x:c r="J78" s="194"/>
      <x:c r="K78" s="194"/>
      <x:c r="L78" s="194"/>
      <x:c r="M78" s="195"/>
      <x:c r="N78" s="195"/>
      <x:c r="O78" s="195"/>
      <x:c r="P78" s="195"/>
      <x:c r="Q78" s="195"/>
      <x:c r="R78" s="195"/>
      <x:c r="S78" s="196" t="str">
        <x:f>IF(OR(M78="",N78="",Q78="",M78=0),"",ABS((M78-N78)/M78*Q78))</x:f>
      </x:c>
      <x:c r="T78" s="196" t="str">
        <x:f>IF(OR(M78="",N78="",O78="",M78=N78),"",ABS((O78-M78)/(M78-N78)))</x:f>
      </x:c>
      <x:c r="U78" s="195"/>
      <x:c r="V78" s="196" t="str">
        <x:f>IF(U78&lt;&gt;"",U78,IF(OR(P78="",M78="",Q78="",E78=""),"",IF(E78="做多",(P78-M78)/M78*Q78-R78,(M78-P78)/M78*Q78-R78)))</x:f>
      </x:c>
      <x:c r="W78" s="197" t="str">
        <x:f>IF(OR(V78="",S78="",S78=0),"",V78/S78)</x:f>
      </x:c>
      <x:c r="X78" s="198" t="str">
        <x:f>IF(V78="","",IF(V78&gt;0,"Win",IF(V78&lt;0,"Loss","BE")))</x:f>
      </x:c>
      <x:c r="Y78" s="194"/>
      <x:c r="Z78" s="194"/>
      <x:c r="AA78" s="194"/>
      <x:c r="AB78" s="194"/>
      <x:c r="AC78" s="194"/>
      <x:c r="AD78" s="196" t="str">
        <x:f>IF(A78="","",SUM($V$4:V78))</x:f>
      </x:c>
      <x:c r="AE78" s="196" t="str">
        <x:f>IF(AD78="","",MAX(0,$AD$4:AD78))</x:f>
      </x:c>
      <x:c r="AF78" s="199" t="str">
        <x:f>IF(AD78="","",AD78-AE78)</x:f>
      </x:c>
    </x:row>
    <x:row r="79">
      <x:c r="A79" s="192"/>
      <x:c r="B79" s="193"/>
      <x:c r="C79" s="193"/>
      <x:c r="D79" s="194"/>
      <x:c r="E79" s="194"/>
      <x:c r="F79" s="194"/>
      <x:c r="G79" s="194"/>
      <x:c r="H79" s="194"/>
      <x:c r="I79" s="194"/>
      <x:c r="J79" s="194"/>
      <x:c r="K79" s="194"/>
      <x:c r="L79" s="194"/>
      <x:c r="M79" s="195"/>
      <x:c r="N79" s="195"/>
      <x:c r="O79" s="195"/>
      <x:c r="P79" s="195"/>
      <x:c r="Q79" s="195"/>
      <x:c r="R79" s="195"/>
      <x:c r="S79" s="196" t="str">
        <x:f>IF(OR(M79="",N79="",Q79="",M79=0),"",ABS((M79-N79)/M79*Q79))</x:f>
      </x:c>
      <x:c r="T79" s="196" t="str">
        <x:f>IF(OR(M79="",N79="",O79="",M79=N79),"",ABS((O79-M79)/(M79-N79)))</x:f>
      </x:c>
      <x:c r="U79" s="195"/>
      <x:c r="V79" s="196" t="str">
        <x:f>IF(U79&lt;&gt;"",U79,IF(OR(P79="",M79="",Q79="",E79=""),"",IF(E79="做多",(P79-M79)/M79*Q79-R79,(M79-P79)/M79*Q79-R79)))</x:f>
      </x:c>
      <x:c r="W79" s="197" t="str">
        <x:f>IF(OR(V79="",S79="",S79=0),"",V79/S79)</x:f>
      </x:c>
      <x:c r="X79" s="198" t="str">
        <x:f>IF(V79="","",IF(V79&gt;0,"Win",IF(V79&lt;0,"Loss","BE")))</x:f>
      </x:c>
      <x:c r="Y79" s="194"/>
      <x:c r="Z79" s="194"/>
      <x:c r="AA79" s="194"/>
      <x:c r="AB79" s="194"/>
      <x:c r="AC79" s="194"/>
      <x:c r="AD79" s="196" t="str">
        <x:f>IF(A79="","",SUM($V$4:V79))</x:f>
      </x:c>
      <x:c r="AE79" s="196" t="str">
        <x:f>IF(AD79="","",MAX(0,$AD$4:AD79))</x:f>
      </x:c>
      <x:c r="AF79" s="199" t="str">
        <x:f>IF(AD79="","",AD79-AE79)</x:f>
      </x:c>
    </x:row>
    <x:row r="80">
      <x:c r="A80" s="192"/>
      <x:c r="B80" s="193"/>
      <x:c r="C80" s="193"/>
      <x:c r="D80" s="194"/>
      <x:c r="E80" s="194"/>
      <x:c r="F80" s="194"/>
      <x:c r="G80" s="194"/>
      <x:c r="H80" s="194"/>
      <x:c r="I80" s="194"/>
      <x:c r="J80" s="194"/>
      <x:c r="K80" s="194"/>
      <x:c r="L80" s="194"/>
      <x:c r="M80" s="195"/>
      <x:c r="N80" s="195"/>
      <x:c r="O80" s="195"/>
      <x:c r="P80" s="195"/>
      <x:c r="Q80" s="195"/>
      <x:c r="R80" s="195"/>
      <x:c r="S80" s="196" t="str">
        <x:f>IF(OR(M80="",N80="",Q80="",M80=0),"",ABS((M80-N80)/M80*Q80))</x:f>
      </x:c>
      <x:c r="T80" s="196" t="str">
        <x:f>IF(OR(M80="",N80="",O80="",M80=N80),"",ABS((O80-M80)/(M80-N80)))</x:f>
      </x:c>
      <x:c r="U80" s="195"/>
      <x:c r="V80" s="196" t="str">
        <x:f>IF(U80&lt;&gt;"",U80,IF(OR(P80="",M80="",Q80="",E80=""),"",IF(E80="做多",(P80-M80)/M80*Q80-R80,(M80-P80)/M80*Q80-R80)))</x:f>
      </x:c>
      <x:c r="W80" s="197" t="str">
        <x:f>IF(OR(V80="",S80="",S80=0),"",V80/S80)</x:f>
      </x:c>
      <x:c r="X80" s="198" t="str">
        <x:f>IF(V80="","",IF(V80&gt;0,"Win",IF(V80&lt;0,"Loss","BE")))</x:f>
      </x:c>
      <x:c r="Y80" s="194"/>
      <x:c r="Z80" s="194"/>
      <x:c r="AA80" s="194"/>
      <x:c r="AB80" s="194"/>
      <x:c r="AC80" s="194"/>
      <x:c r="AD80" s="196" t="str">
        <x:f>IF(A80="","",SUM($V$4:V80))</x:f>
      </x:c>
      <x:c r="AE80" s="196" t="str">
        <x:f>IF(AD80="","",MAX(0,$AD$4:AD80))</x:f>
      </x:c>
      <x:c r="AF80" s="199" t="str">
        <x:f>IF(AD80="","",AD80-AE80)</x:f>
      </x:c>
    </x:row>
    <x:row r="81">
      <x:c r="A81" s="192"/>
      <x:c r="B81" s="193"/>
      <x:c r="C81" s="193"/>
      <x:c r="D81" s="194"/>
      <x:c r="E81" s="194"/>
      <x:c r="F81" s="194"/>
      <x:c r="G81" s="194"/>
      <x:c r="H81" s="194"/>
      <x:c r="I81" s="194"/>
      <x:c r="J81" s="194"/>
      <x:c r="K81" s="194"/>
      <x:c r="L81" s="194"/>
      <x:c r="M81" s="195"/>
      <x:c r="N81" s="195"/>
      <x:c r="O81" s="195"/>
      <x:c r="P81" s="195"/>
      <x:c r="Q81" s="195"/>
      <x:c r="R81" s="195"/>
      <x:c r="S81" s="196" t="str">
        <x:f>IF(OR(M81="",N81="",Q81="",M81=0),"",ABS((M81-N81)/M81*Q81))</x:f>
      </x:c>
      <x:c r="T81" s="196" t="str">
        <x:f>IF(OR(M81="",N81="",O81="",M81=N81),"",ABS((O81-M81)/(M81-N81)))</x:f>
      </x:c>
      <x:c r="U81" s="195"/>
      <x:c r="V81" s="196" t="str">
        <x:f>IF(U81&lt;&gt;"",U81,IF(OR(P81="",M81="",Q81="",E81=""),"",IF(E81="做多",(P81-M81)/M81*Q81-R81,(M81-P81)/M81*Q81-R81)))</x:f>
      </x:c>
      <x:c r="W81" s="197" t="str">
        <x:f>IF(OR(V81="",S81="",S81=0),"",V81/S81)</x:f>
      </x:c>
      <x:c r="X81" s="198" t="str">
        <x:f>IF(V81="","",IF(V81&gt;0,"Win",IF(V81&lt;0,"Loss","BE")))</x:f>
      </x:c>
      <x:c r="Y81" s="194"/>
      <x:c r="Z81" s="194"/>
      <x:c r="AA81" s="194"/>
      <x:c r="AB81" s="194"/>
      <x:c r="AC81" s="194"/>
      <x:c r="AD81" s="196" t="str">
        <x:f>IF(A81="","",SUM($V$4:V81))</x:f>
      </x:c>
      <x:c r="AE81" s="196" t="str">
        <x:f>IF(AD81="","",MAX(0,$AD$4:AD81))</x:f>
      </x:c>
      <x:c r="AF81" s="199" t="str">
        <x:f>IF(AD81="","",AD81-AE81)</x:f>
      </x:c>
    </x:row>
    <x:row r="82">
      <x:c r="A82" s="192"/>
      <x:c r="B82" s="193"/>
      <x:c r="C82" s="193"/>
      <x:c r="D82" s="194"/>
      <x:c r="E82" s="194"/>
      <x:c r="F82" s="194"/>
      <x:c r="G82" s="194"/>
      <x:c r="H82" s="194"/>
      <x:c r="I82" s="194"/>
      <x:c r="J82" s="194"/>
      <x:c r="K82" s="194"/>
      <x:c r="L82" s="194"/>
      <x:c r="M82" s="195"/>
      <x:c r="N82" s="195"/>
      <x:c r="O82" s="195"/>
      <x:c r="P82" s="195"/>
      <x:c r="Q82" s="195"/>
      <x:c r="R82" s="195"/>
      <x:c r="S82" s="196" t="str">
        <x:f>IF(OR(M82="",N82="",Q82="",M82=0),"",ABS((M82-N82)/M82*Q82))</x:f>
      </x:c>
      <x:c r="T82" s="196" t="str">
        <x:f>IF(OR(M82="",N82="",O82="",M82=N82),"",ABS((O82-M82)/(M82-N82)))</x:f>
      </x:c>
      <x:c r="U82" s="195"/>
      <x:c r="V82" s="196" t="str">
        <x:f>IF(U82&lt;&gt;"",U82,IF(OR(P82="",M82="",Q82="",E82=""),"",IF(E82="做多",(P82-M82)/M82*Q82-R82,(M82-P82)/M82*Q82-R82)))</x:f>
      </x:c>
      <x:c r="W82" s="197" t="str">
        <x:f>IF(OR(V82="",S82="",S82=0),"",V82/S82)</x:f>
      </x:c>
      <x:c r="X82" s="198" t="str">
        <x:f>IF(V82="","",IF(V82&gt;0,"Win",IF(V82&lt;0,"Loss","BE")))</x:f>
      </x:c>
      <x:c r="Y82" s="194"/>
      <x:c r="Z82" s="194"/>
      <x:c r="AA82" s="194"/>
      <x:c r="AB82" s="194"/>
      <x:c r="AC82" s="194"/>
      <x:c r="AD82" s="196" t="str">
        <x:f>IF(A82="","",SUM($V$4:V82))</x:f>
      </x:c>
      <x:c r="AE82" s="196" t="str">
        <x:f>IF(AD82="","",MAX(0,$AD$4:AD82))</x:f>
      </x:c>
      <x:c r="AF82" s="199" t="str">
        <x:f>IF(AD82="","",AD82-AE82)</x:f>
      </x:c>
    </x:row>
    <x:row r="83">
      <x:c r="A83" s="192"/>
      <x:c r="B83" s="193"/>
      <x:c r="C83" s="193"/>
      <x:c r="D83" s="194"/>
      <x:c r="E83" s="194"/>
      <x:c r="F83" s="194"/>
      <x:c r="G83" s="194"/>
      <x:c r="H83" s="194"/>
      <x:c r="I83" s="194"/>
      <x:c r="J83" s="194"/>
      <x:c r="K83" s="194"/>
      <x:c r="L83" s="194"/>
      <x:c r="M83" s="195"/>
      <x:c r="N83" s="195"/>
      <x:c r="O83" s="195"/>
      <x:c r="P83" s="195"/>
      <x:c r="Q83" s="195"/>
      <x:c r="R83" s="195"/>
      <x:c r="S83" s="196" t="str">
        <x:f>IF(OR(M83="",N83="",Q83="",M83=0),"",ABS((M83-N83)/M83*Q83))</x:f>
      </x:c>
      <x:c r="T83" s="196" t="str">
        <x:f>IF(OR(M83="",N83="",O83="",M83=N83),"",ABS((O83-M83)/(M83-N83)))</x:f>
      </x:c>
      <x:c r="U83" s="195"/>
      <x:c r="V83" s="196" t="str">
        <x:f>IF(U83&lt;&gt;"",U83,IF(OR(P83="",M83="",Q83="",E83=""),"",IF(E83="做多",(P83-M83)/M83*Q83-R83,(M83-P83)/M83*Q83-R83)))</x:f>
      </x:c>
      <x:c r="W83" s="197" t="str">
        <x:f>IF(OR(V83="",S83="",S83=0),"",V83/S83)</x:f>
      </x:c>
      <x:c r="X83" s="198" t="str">
        <x:f>IF(V83="","",IF(V83&gt;0,"Win",IF(V83&lt;0,"Loss","BE")))</x:f>
      </x:c>
      <x:c r="Y83" s="194"/>
      <x:c r="Z83" s="194"/>
      <x:c r="AA83" s="194"/>
      <x:c r="AB83" s="194"/>
      <x:c r="AC83" s="194"/>
      <x:c r="AD83" s="196" t="str">
        <x:f>IF(A83="","",SUM($V$4:V83))</x:f>
      </x:c>
      <x:c r="AE83" s="196" t="str">
        <x:f>IF(AD83="","",MAX(0,$AD$4:AD83))</x:f>
      </x:c>
      <x:c r="AF83" s="199" t="str">
        <x:f>IF(AD83="","",AD83-AE83)</x:f>
      </x:c>
    </x:row>
    <x:row r="84">
      <x:c r="A84" s="192"/>
      <x:c r="B84" s="193"/>
      <x:c r="C84" s="193"/>
      <x:c r="D84" s="194"/>
      <x:c r="E84" s="194"/>
      <x:c r="F84" s="194"/>
      <x:c r="G84" s="194"/>
      <x:c r="H84" s="194"/>
      <x:c r="I84" s="194"/>
      <x:c r="J84" s="194"/>
      <x:c r="K84" s="194"/>
      <x:c r="L84" s="194"/>
      <x:c r="M84" s="195"/>
      <x:c r="N84" s="195"/>
      <x:c r="O84" s="195"/>
      <x:c r="P84" s="195"/>
      <x:c r="Q84" s="195"/>
      <x:c r="R84" s="195"/>
      <x:c r="S84" s="196" t="str">
        <x:f>IF(OR(M84="",N84="",Q84="",M84=0),"",ABS((M84-N84)/M84*Q84))</x:f>
      </x:c>
      <x:c r="T84" s="196" t="str">
        <x:f>IF(OR(M84="",N84="",O84="",M84=N84),"",ABS((O84-M84)/(M84-N84)))</x:f>
      </x:c>
      <x:c r="U84" s="195"/>
      <x:c r="V84" s="196" t="str">
        <x:f>IF(U84&lt;&gt;"",U84,IF(OR(P84="",M84="",Q84="",E84=""),"",IF(E84="做多",(P84-M84)/M84*Q84-R84,(M84-P84)/M84*Q84-R84)))</x:f>
      </x:c>
      <x:c r="W84" s="197" t="str">
        <x:f>IF(OR(V84="",S84="",S84=0),"",V84/S84)</x:f>
      </x:c>
      <x:c r="X84" s="198" t="str">
        <x:f>IF(V84="","",IF(V84&gt;0,"Win",IF(V84&lt;0,"Loss","BE")))</x:f>
      </x:c>
      <x:c r="Y84" s="194"/>
      <x:c r="Z84" s="194"/>
      <x:c r="AA84" s="194"/>
      <x:c r="AB84" s="194"/>
      <x:c r="AC84" s="194"/>
      <x:c r="AD84" s="196" t="str">
        <x:f>IF(A84="","",SUM($V$4:V84))</x:f>
      </x:c>
      <x:c r="AE84" s="196" t="str">
        <x:f>IF(AD84="","",MAX(0,$AD$4:AD84))</x:f>
      </x:c>
      <x:c r="AF84" s="199" t="str">
        <x:f>IF(AD84="","",AD84-AE84)</x:f>
      </x:c>
    </x:row>
    <x:row r="85">
      <x:c r="A85" s="192"/>
      <x:c r="B85" s="193"/>
      <x:c r="C85" s="193"/>
      <x:c r="D85" s="194"/>
      <x:c r="E85" s="194"/>
      <x:c r="F85" s="194"/>
      <x:c r="G85" s="194"/>
      <x:c r="H85" s="194"/>
      <x:c r="I85" s="194"/>
      <x:c r="J85" s="194"/>
      <x:c r="K85" s="194"/>
      <x:c r="L85" s="194"/>
      <x:c r="M85" s="195"/>
      <x:c r="N85" s="195"/>
      <x:c r="O85" s="195"/>
      <x:c r="P85" s="195"/>
      <x:c r="Q85" s="195"/>
      <x:c r="R85" s="195"/>
      <x:c r="S85" s="196" t="str">
        <x:f>IF(OR(M85="",N85="",Q85="",M85=0),"",ABS((M85-N85)/M85*Q85))</x:f>
      </x:c>
      <x:c r="T85" s="196" t="str">
        <x:f>IF(OR(M85="",N85="",O85="",M85=N85),"",ABS((O85-M85)/(M85-N85)))</x:f>
      </x:c>
      <x:c r="U85" s="195"/>
      <x:c r="V85" s="196" t="str">
        <x:f>IF(U85&lt;&gt;"",U85,IF(OR(P85="",M85="",Q85="",E85=""),"",IF(E85="做多",(P85-M85)/M85*Q85-R85,(M85-P85)/M85*Q85-R85)))</x:f>
      </x:c>
      <x:c r="W85" s="197" t="str">
        <x:f>IF(OR(V85="",S85="",S85=0),"",V85/S85)</x:f>
      </x:c>
      <x:c r="X85" s="198" t="str">
        <x:f>IF(V85="","",IF(V85&gt;0,"Win",IF(V85&lt;0,"Loss","BE")))</x:f>
      </x:c>
      <x:c r="Y85" s="194"/>
      <x:c r="Z85" s="194"/>
      <x:c r="AA85" s="194"/>
      <x:c r="AB85" s="194"/>
      <x:c r="AC85" s="194"/>
      <x:c r="AD85" s="196" t="str">
        <x:f>IF(A85="","",SUM($V$4:V85))</x:f>
      </x:c>
      <x:c r="AE85" s="196" t="str">
        <x:f>IF(AD85="","",MAX(0,$AD$4:AD85))</x:f>
      </x:c>
      <x:c r="AF85" s="199" t="str">
        <x:f>IF(AD85="","",AD85-AE85)</x:f>
      </x:c>
    </x:row>
    <x:row r="86">
      <x:c r="A86" s="192"/>
      <x:c r="B86" s="193"/>
      <x:c r="C86" s="193"/>
      <x:c r="D86" s="194"/>
      <x:c r="E86" s="194"/>
      <x:c r="F86" s="194"/>
      <x:c r="G86" s="194"/>
      <x:c r="H86" s="194"/>
      <x:c r="I86" s="194"/>
      <x:c r="J86" s="194"/>
      <x:c r="K86" s="194"/>
      <x:c r="L86" s="194"/>
      <x:c r="M86" s="195"/>
      <x:c r="N86" s="195"/>
      <x:c r="O86" s="195"/>
      <x:c r="P86" s="195"/>
      <x:c r="Q86" s="195"/>
      <x:c r="R86" s="195"/>
      <x:c r="S86" s="196" t="str">
        <x:f>IF(OR(M86="",N86="",Q86="",M86=0),"",ABS((M86-N86)/M86*Q86))</x:f>
      </x:c>
      <x:c r="T86" s="196" t="str">
        <x:f>IF(OR(M86="",N86="",O86="",M86=N86),"",ABS((O86-M86)/(M86-N86)))</x:f>
      </x:c>
      <x:c r="U86" s="195"/>
      <x:c r="V86" s="196" t="str">
        <x:f>IF(U86&lt;&gt;"",U86,IF(OR(P86="",M86="",Q86="",E86=""),"",IF(E86="做多",(P86-M86)/M86*Q86-R86,(M86-P86)/M86*Q86-R86)))</x:f>
      </x:c>
      <x:c r="W86" s="197" t="str">
        <x:f>IF(OR(V86="",S86="",S86=0),"",V86/S86)</x:f>
      </x:c>
      <x:c r="X86" s="198" t="str">
        <x:f>IF(V86="","",IF(V86&gt;0,"Win",IF(V86&lt;0,"Loss","BE")))</x:f>
      </x:c>
      <x:c r="Y86" s="194"/>
      <x:c r="Z86" s="194"/>
      <x:c r="AA86" s="194"/>
      <x:c r="AB86" s="194"/>
      <x:c r="AC86" s="194"/>
      <x:c r="AD86" s="196" t="str">
        <x:f>IF(A86="","",SUM($V$4:V86))</x:f>
      </x:c>
      <x:c r="AE86" s="196" t="str">
        <x:f>IF(AD86="","",MAX(0,$AD$4:AD86))</x:f>
      </x:c>
      <x:c r="AF86" s="199" t="str">
        <x:f>IF(AD86="","",AD86-AE86)</x:f>
      </x:c>
    </x:row>
    <x:row r="87">
      <x:c r="A87" s="192"/>
      <x:c r="B87" s="193"/>
      <x:c r="C87" s="193"/>
      <x:c r="D87" s="194"/>
      <x:c r="E87" s="194"/>
      <x:c r="F87" s="194"/>
      <x:c r="G87" s="194"/>
      <x:c r="H87" s="194"/>
      <x:c r="I87" s="194"/>
      <x:c r="J87" s="194"/>
      <x:c r="K87" s="194"/>
      <x:c r="L87" s="194"/>
      <x:c r="M87" s="195"/>
      <x:c r="N87" s="195"/>
      <x:c r="O87" s="195"/>
      <x:c r="P87" s="195"/>
      <x:c r="Q87" s="195"/>
      <x:c r="R87" s="195"/>
      <x:c r="S87" s="196" t="str">
        <x:f>IF(OR(M87="",N87="",Q87="",M87=0),"",ABS((M87-N87)/M87*Q87))</x:f>
      </x:c>
      <x:c r="T87" s="196" t="str">
        <x:f>IF(OR(M87="",N87="",O87="",M87=N87),"",ABS((O87-M87)/(M87-N87)))</x:f>
      </x:c>
      <x:c r="U87" s="195"/>
      <x:c r="V87" s="196" t="str">
        <x:f>IF(U87&lt;&gt;"",U87,IF(OR(P87="",M87="",Q87="",E87=""),"",IF(E87="做多",(P87-M87)/M87*Q87-R87,(M87-P87)/M87*Q87-R87)))</x:f>
      </x:c>
      <x:c r="W87" s="197" t="str">
        <x:f>IF(OR(V87="",S87="",S87=0),"",V87/S87)</x:f>
      </x:c>
      <x:c r="X87" s="198" t="str">
        <x:f>IF(V87="","",IF(V87&gt;0,"Win",IF(V87&lt;0,"Loss","BE")))</x:f>
      </x:c>
      <x:c r="Y87" s="194"/>
      <x:c r="Z87" s="194"/>
      <x:c r="AA87" s="194"/>
      <x:c r="AB87" s="194"/>
      <x:c r="AC87" s="194"/>
      <x:c r="AD87" s="196" t="str">
        <x:f>IF(A87="","",SUM($V$4:V87))</x:f>
      </x:c>
      <x:c r="AE87" s="196" t="str">
        <x:f>IF(AD87="","",MAX(0,$AD$4:AD87))</x:f>
      </x:c>
      <x:c r="AF87" s="199" t="str">
        <x:f>IF(AD87="","",AD87-AE87)</x:f>
      </x:c>
    </x:row>
    <x:row r="88">
      <x:c r="A88" s="192"/>
      <x:c r="B88" s="193"/>
      <x:c r="C88" s="193"/>
      <x:c r="D88" s="194"/>
      <x:c r="E88" s="194"/>
      <x:c r="F88" s="194"/>
      <x:c r="G88" s="194"/>
      <x:c r="H88" s="194"/>
      <x:c r="I88" s="194"/>
      <x:c r="J88" s="194"/>
      <x:c r="K88" s="194"/>
      <x:c r="L88" s="194"/>
      <x:c r="M88" s="195"/>
      <x:c r="N88" s="195"/>
      <x:c r="O88" s="195"/>
      <x:c r="P88" s="195"/>
      <x:c r="Q88" s="195"/>
      <x:c r="R88" s="195"/>
      <x:c r="S88" s="196" t="str">
        <x:f>IF(OR(M88="",N88="",Q88="",M88=0),"",ABS((M88-N88)/M88*Q88))</x:f>
      </x:c>
      <x:c r="T88" s="196" t="str">
        <x:f>IF(OR(M88="",N88="",O88="",M88=N88),"",ABS((O88-M88)/(M88-N88)))</x:f>
      </x:c>
      <x:c r="U88" s="195"/>
      <x:c r="V88" s="196" t="str">
        <x:f>IF(U88&lt;&gt;"",U88,IF(OR(P88="",M88="",Q88="",E88=""),"",IF(E88="做多",(P88-M88)/M88*Q88-R88,(M88-P88)/M88*Q88-R88)))</x:f>
      </x:c>
      <x:c r="W88" s="197" t="str">
        <x:f>IF(OR(V88="",S88="",S88=0),"",V88/S88)</x:f>
      </x:c>
      <x:c r="X88" s="198" t="str">
        <x:f>IF(V88="","",IF(V88&gt;0,"Win",IF(V88&lt;0,"Loss","BE")))</x:f>
      </x:c>
      <x:c r="Y88" s="194"/>
      <x:c r="Z88" s="194"/>
      <x:c r="AA88" s="194"/>
      <x:c r="AB88" s="194"/>
      <x:c r="AC88" s="194"/>
      <x:c r="AD88" s="196" t="str">
        <x:f>IF(A88="","",SUM($V$4:V88))</x:f>
      </x:c>
      <x:c r="AE88" s="196" t="str">
        <x:f>IF(AD88="","",MAX(0,$AD$4:AD88))</x:f>
      </x:c>
      <x:c r="AF88" s="199" t="str">
        <x:f>IF(AD88="","",AD88-AE88)</x:f>
      </x:c>
    </x:row>
    <x:row r="89">
      <x:c r="A89" s="192"/>
      <x:c r="B89" s="193"/>
      <x:c r="C89" s="193"/>
      <x:c r="D89" s="194"/>
      <x:c r="E89" s="194"/>
      <x:c r="F89" s="194"/>
      <x:c r="G89" s="194"/>
      <x:c r="H89" s="194"/>
      <x:c r="I89" s="194"/>
      <x:c r="J89" s="194"/>
      <x:c r="K89" s="194"/>
      <x:c r="L89" s="194"/>
      <x:c r="M89" s="195"/>
      <x:c r="N89" s="195"/>
      <x:c r="O89" s="195"/>
      <x:c r="P89" s="195"/>
      <x:c r="Q89" s="195"/>
      <x:c r="R89" s="195"/>
      <x:c r="S89" s="196" t="str">
        <x:f>IF(OR(M89="",N89="",Q89="",M89=0),"",ABS((M89-N89)/M89*Q89))</x:f>
      </x:c>
      <x:c r="T89" s="196" t="str">
        <x:f>IF(OR(M89="",N89="",O89="",M89=N89),"",ABS((O89-M89)/(M89-N89)))</x:f>
      </x:c>
      <x:c r="U89" s="195"/>
      <x:c r="V89" s="196" t="str">
        <x:f>IF(U89&lt;&gt;"",U89,IF(OR(P89="",M89="",Q89="",E89=""),"",IF(E89="做多",(P89-M89)/M89*Q89-R89,(M89-P89)/M89*Q89-R89)))</x:f>
      </x:c>
      <x:c r="W89" s="197" t="str">
        <x:f>IF(OR(V89="",S89="",S89=0),"",V89/S89)</x:f>
      </x:c>
      <x:c r="X89" s="198" t="str">
        <x:f>IF(V89="","",IF(V89&gt;0,"Win",IF(V89&lt;0,"Loss","BE")))</x:f>
      </x:c>
      <x:c r="Y89" s="194"/>
      <x:c r="Z89" s="194"/>
      <x:c r="AA89" s="194"/>
      <x:c r="AB89" s="194"/>
      <x:c r="AC89" s="194"/>
      <x:c r="AD89" s="196" t="str">
        <x:f>IF(A89="","",SUM($V$4:V89))</x:f>
      </x:c>
      <x:c r="AE89" s="196" t="str">
        <x:f>IF(AD89="","",MAX(0,$AD$4:AD89))</x:f>
      </x:c>
      <x:c r="AF89" s="199" t="str">
        <x:f>IF(AD89="","",AD89-AE89)</x:f>
      </x:c>
    </x:row>
    <x:row r="90">
      <x:c r="A90" s="192"/>
      <x:c r="B90" s="193"/>
      <x:c r="C90" s="193"/>
      <x:c r="D90" s="194"/>
      <x:c r="E90" s="194"/>
      <x:c r="F90" s="194"/>
      <x:c r="G90" s="194"/>
      <x:c r="H90" s="194"/>
      <x:c r="I90" s="194"/>
      <x:c r="J90" s="194"/>
      <x:c r="K90" s="194"/>
      <x:c r="L90" s="194"/>
      <x:c r="M90" s="195"/>
      <x:c r="N90" s="195"/>
      <x:c r="O90" s="195"/>
      <x:c r="P90" s="195"/>
      <x:c r="Q90" s="195"/>
      <x:c r="R90" s="195"/>
      <x:c r="S90" s="196" t="str">
        <x:f>IF(OR(M90="",N90="",Q90="",M90=0),"",ABS((M90-N90)/M90*Q90))</x:f>
      </x:c>
      <x:c r="T90" s="196" t="str">
        <x:f>IF(OR(M90="",N90="",O90="",M90=N90),"",ABS((O90-M90)/(M90-N90)))</x:f>
      </x:c>
      <x:c r="U90" s="195"/>
      <x:c r="V90" s="196" t="str">
        <x:f>IF(U90&lt;&gt;"",U90,IF(OR(P90="",M90="",Q90="",E90=""),"",IF(E90="做多",(P90-M90)/M90*Q90-R90,(M90-P90)/M90*Q90-R90)))</x:f>
      </x:c>
      <x:c r="W90" s="197" t="str">
        <x:f>IF(OR(V90="",S90="",S90=0),"",V90/S90)</x:f>
      </x:c>
      <x:c r="X90" s="198" t="str">
        <x:f>IF(V90="","",IF(V90&gt;0,"Win",IF(V90&lt;0,"Loss","BE")))</x:f>
      </x:c>
      <x:c r="Y90" s="194"/>
      <x:c r="Z90" s="194"/>
      <x:c r="AA90" s="194"/>
      <x:c r="AB90" s="194"/>
      <x:c r="AC90" s="194"/>
      <x:c r="AD90" s="196" t="str">
        <x:f>IF(A90="","",SUM($V$4:V90))</x:f>
      </x:c>
      <x:c r="AE90" s="196" t="str">
        <x:f>IF(AD90="","",MAX(0,$AD$4:AD90))</x:f>
      </x:c>
      <x:c r="AF90" s="199" t="str">
        <x:f>IF(AD90="","",AD90-AE90)</x:f>
      </x:c>
    </x:row>
    <x:row r="91">
      <x:c r="A91" s="192"/>
      <x:c r="B91" s="193"/>
      <x:c r="C91" s="193"/>
      <x:c r="D91" s="194"/>
      <x:c r="E91" s="194"/>
      <x:c r="F91" s="194"/>
      <x:c r="G91" s="194"/>
      <x:c r="H91" s="194"/>
      <x:c r="I91" s="194"/>
      <x:c r="J91" s="194"/>
      <x:c r="K91" s="194"/>
      <x:c r="L91" s="194"/>
      <x:c r="M91" s="195"/>
      <x:c r="N91" s="195"/>
      <x:c r="O91" s="195"/>
      <x:c r="P91" s="195"/>
      <x:c r="Q91" s="195"/>
      <x:c r="R91" s="195"/>
      <x:c r="S91" s="196" t="str">
        <x:f>IF(OR(M91="",N91="",Q91="",M91=0),"",ABS((M91-N91)/M91*Q91))</x:f>
      </x:c>
      <x:c r="T91" s="196" t="str">
        <x:f>IF(OR(M91="",N91="",O91="",M91=N91),"",ABS((O91-M91)/(M91-N91)))</x:f>
      </x:c>
      <x:c r="U91" s="195"/>
      <x:c r="V91" s="196" t="str">
        <x:f>IF(U91&lt;&gt;"",U91,IF(OR(P91="",M91="",Q91="",E91=""),"",IF(E91="做多",(P91-M91)/M91*Q91-R91,(M91-P91)/M91*Q91-R91)))</x:f>
      </x:c>
      <x:c r="W91" s="197" t="str">
        <x:f>IF(OR(V91="",S91="",S91=0),"",V91/S91)</x:f>
      </x:c>
      <x:c r="X91" s="198" t="str">
        <x:f>IF(V91="","",IF(V91&gt;0,"Win",IF(V91&lt;0,"Loss","BE")))</x:f>
      </x:c>
      <x:c r="Y91" s="194"/>
      <x:c r="Z91" s="194"/>
      <x:c r="AA91" s="194"/>
      <x:c r="AB91" s="194"/>
      <x:c r="AC91" s="194"/>
      <x:c r="AD91" s="196" t="str">
        <x:f>IF(A91="","",SUM($V$4:V91))</x:f>
      </x:c>
      <x:c r="AE91" s="196" t="str">
        <x:f>IF(AD91="","",MAX(0,$AD$4:AD91))</x:f>
      </x:c>
      <x:c r="AF91" s="199" t="str">
        <x:f>IF(AD91="","",AD91-AE91)</x:f>
      </x:c>
    </x:row>
    <x:row r="92">
      <x:c r="A92" s="192"/>
      <x:c r="B92" s="193"/>
      <x:c r="C92" s="193"/>
      <x:c r="D92" s="194"/>
      <x:c r="E92" s="194"/>
      <x:c r="F92" s="194"/>
      <x:c r="G92" s="194"/>
      <x:c r="H92" s="194"/>
      <x:c r="I92" s="194"/>
      <x:c r="J92" s="194"/>
      <x:c r="K92" s="194"/>
      <x:c r="L92" s="194"/>
      <x:c r="M92" s="195"/>
      <x:c r="N92" s="195"/>
      <x:c r="O92" s="195"/>
      <x:c r="P92" s="195"/>
      <x:c r="Q92" s="195"/>
      <x:c r="R92" s="195"/>
      <x:c r="S92" s="196" t="str">
        <x:f>IF(OR(M92="",N92="",Q92="",M92=0),"",ABS((M92-N92)/M92*Q92))</x:f>
      </x:c>
      <x:c r="T92" s="196" t="str">
        <x:f>IF(OR(M92="",N92="",O92="",M92=N92),"",ABS((O92-M92)/(M92-N92)))</x:f>
      </x:c>
      <x:c r="U92" s="195"/>
      <x:c r="V92" s="196" t="str">
        <x:f>IF(U92&lt;&gt;"",U92,IF(OR(P92="",M92="",Q92="",E92=""),"",IF(E92="做多",(P92-M92)/M92*Q92-R92,(M92-P92)/M92*Q92-R92)))</x:f>
      </x:c>
      <x:c r="W92" s="197" t="str">
        <x:f>IF(OR(V92="",S92="",S92=0),"",V92/S92)</x:f>
      </x:c>
      <x:c r="X92" s="198" t="str">
        <x:f>IF(V92="","",IF(V92&gt;0,"Win",IF(V92&lt;0,"Loss","BE")))</x:f>
      </x:c>
      <x:c r="Y92" s="194"/>
      <x:c r="Z92" s="194"/>
      <x:c r="AA92" s="194"/>
      <x:c r="AB92" s="194"/>
      <x:c r="AC92" s="194"/>
      <x:c r="AD92" s="196" t="str">
        <x:f>IF(A92="","",SUM($V$4:V92))</x:f>
      </x:c>
      <x:c r="AE92" s="196" t="str">
        <x:f>IF(AD92="","",MAX(0,$AD$4:AD92))</x:f>
      </x:c>
      <x:c r="AF92" s="199" t="str">
        <x:f>IF(AD92="","",AD92-AE92)</x:f>
      </x:c>
    </x:row>
    <x:row r="93">
      <x:c r="A93" s="192"/>
      <x:c r="B93" s="193"/>
      <x:c r="C93" s="193"/>
      <x:c r="D93" s="194"/>
      <x:c r="E93" s="194"/>
      <x:c r="F93" s="194"/>
      <x:c r="G93" s="194"/>
      <x:c r="H93" s="194"/>
      <x:c r="I93" s="194"/>
      <x:c r="J93" s="194"/>
      <x:c r="K93" s="194"/>
      <x:c r="L93" s="194"/>
      <x:c r="M93" s="195"/>
      <x:c r="N93" s="195"/>
      <x:c r="O93" s="195"/>
      <x:c r="P93" s="195"/>
      <x:c r="Q93" s="195"/>
      <x:c r="R93" s="195"/>
      <x:c r="S93" s="196" t="str">
        <x:f>IF(OR(M93="",N93="",Q93="",M93=0),"",ABS((M93-N93)/M93*Q93))</x:f>
      </x:c>
      <x:c r="T93" s="196" t="str">
        <x:f>IF(OR(M93="",N93="",O93="",M93=N93),"",ABS((O93-M93)/(M93-N93)))</x:f>
      </x:c>
      <x:c r="U93" s="195"/>
      <x:c r="V93" s="196" t="str">
        <x:f>IF(U93&lt;&gt;"",U93,IF(OR(P93="",M93="",Q93="",E93=""),"",IF(E93="做多",(P93-M93)/M93*Q93-R93,(M93-P93)/M93*Q93-R93)))</x:f>
      </x:c>
      <x:c r="W93" s="197" t="str">
        <x:f>IF(OR(V93="",S93="",S93=0),"",V93/S93)</x:f>
      </x:c>
      <x:c r="X93" s="198" t="str">
        <x:f>IF(V93="","",IF(V93&gt;0,"Win",IF(V93&lt;0,"Loss","BE")))</x:f>
      </x:c>
      <x:c r="Y93" s="194"/>
      <x:c r="Z93" s="194"/>
      <x:c r="AA93" s="194"/>
      <x:c r="AB93" s="194"/>
      <x:c r="AC93" s="194"/>
      <x:c r="AD93" s="196" t="str">
        <x:f>IF(A93="","",SUM($V$4:V93))</x:f>
      </x:c>
      <x:c r="AE93" s="196" t="str">
        <x:f>IF(AD93="","",MAX(0,$AD$4:AD93))</x:f>
      </x:c>
      <x:c r="AF93" s="199" t="str">
        <x:f>IF(AD93="","",AD93-AE93)</x:f>
      </x:c>
    </x:row>
    <x:row r="94">
      <x:c r="A94" s="192"/>
      <x:c r="B94" s="193"/>
      <x:c r="C94" s="193"/>
      <x:c r="D94" s="194"/>
      <x:c r="E94" s="194"/>
      <x:c r="F94" s="194"/>
      <x:c r="G94" s="194"/>
      <x:c r="H94" s="194"/>
      <x:c r="I94" s="194"/>
      <x:c r="J94" s="194"/>
      <x:c r="K94" s="194"/>
      <x:c r="L94" s="194"/>
      <x:c r="M94" s="195"/>
      <x:c r="N94" s="195"/>
      <x:c r="O94" s="195"/>
      <x:c r="P94" s="195"/>
      <x:c r="Q94" s="195"/>
      <x:c r="R94" s="195"/>
      <x:c r="S94" s="196" t="str">
        <x:f>IF(OR(M94="",N94="",Q94="",M94=0),"",ABS((M94-N94)/M94*Q94))</x:f>
      </x:c>
      <x:c r="T94" s="196" t="str">
        <x:f>IF(OR(M94="",N94="",O94="",M94=N94),"",ABS((O94-M94)/(M94-N94)))</x:f>
      </x:c>
      <x:c r="U94" s="195"/>
      <x:c r="V94" s="196" t="str">
        <x:f>IF(U94&lt;&gt;"",U94,IF(OR(P94="",M94="",Q94="",E94=""),"",IF(E94="做多",(P94-M94)/M94*Q94-R94,(M94-P94)/M94*Q94-R94)))</x:f>
      </x:c>
      <x:c r="W94" s="197" t="str">
        <x:f>IF(OR(V94="",S94="",S94=0),"",V94/S94)</x:f>
      </x:c>
      <x:c r="X94" s="198" t="str">
        <x:f>IF(V94="","",IF(V94&gt;0,"Win",IF(V94&lt;0,"Loss","BE")))</x:f>
      </x:c>
      <x:c r="Y94" s="194"/>
      <x:c r="Z94" s="194"/>
      <x:c r="AA94" s="194"/>
      <x:c r="AB94" s="194"/>
      <x:c r="AC94" s="194"/>
      <x:c r="AD94" s="196" t="str">
        <x:f>IF(A94="","",SUM($V$4:V94))</x:f>
      </x:c>
      <x:c r="AE94" s="196" t="str">
        <x:f>IF(AD94="","",MAX(0,$AD$4:AD94))</x:f>
      </x:c>
      <x:c r="AF94" s="199" t="str">
        <x:f>IF(AD94="","",AD94-AE94)</x:f>
      </x:c>
    </x:row>
    <x:row r="95">
      <x:c r="A95" s="192"/>
      <x:c r="B95" s="193"/>
      <x:c r="C95" s="193"/>
      <x:c r="D95" s="194"/>
      <x:c r="E95" s="194"/>
      <x:c r="F95" s="194"/>
      <x:c r="G95" s="194"/>
      <x:c r="H95" s="194"/>
      <x:c r="I95" s="194"/>
      <x:c r="J95" s="194"/>
      <x:c r="K95" s="194"/>
      <x:c r="L95" s="194"/>
      <x:c r="M95" s="195"/>
      <x:c r="N95" s="195"/>
      <x:c r="O95" s="195"/>
      <x:c r="P95" s="195"/>
      <x:c r="Q95" s="195"/>
      <x:c r="R95" s="195"/>
      <x:c r="S95" s="196" t="str">
        <x:f>IF(OR(M95="",N95="",Q95="",M95=0),"",ABS((M95-N95)/M95*Q95))</x:f>
      </x:c>
      <x:c r="T95" s="196" t="str">
        <x:f>IF(OR(M95="",N95="",O95="",M95=N95),"",ABS((O95-M95)/(M95-N95)))</x:f>
      </x:c>
      <x:c r="U95" s="195"/>
      <x:c r="V95" s="196" t="str">
        <x:f>IF(U95&lt;&gt;"",U95,IF(OR(P95="",M95="",Q95="",E95=""),"",IF(E95="做多",(P95-M95)/M95*Q95-R95,(M95-P95)/M95*Q95-R95)))</x:f>
      </x:c>
      <x:c r="W95" s="197" t="str">
        <x:f>IF(OR(V95="",S95="",S95=0),"",V95/S95)</x:f>
      </x:c>
      <x:c r="X95" s="198" t="str">
        <x:f>IF(V95="","",IF(V95&gt;0,"Win",IF(V95&lt;0,"Loss","BE")))</x:f>
      </x:c>
      <x:c r="Y95" s="194"/>
      <x:c r="Z95" s="194"/>
      <x:c r="AA95" s="194"/>
      <x:c r="AB95" s="194"/>
      <x:c r="AC95" s="194"/>
      <x:c r="AD95" s="196" t="str">
        <x:f>IF(A95="","",SUM($V$4:V95))</x:f>
      </x:c>
      <x:c r="AE95" s="196" t="str">
        <x:f>IF(AD95="","",MAX(0,$AD$4:AD95))</x:f>
      </x:c>
      <x:c r="AF95" s="199" t="str">
        <x:f>IF(AD95="","",AD95-AE95)</x:f>
      </x:c>
    </x:row>
    <x:row r="96">
      <x:c r="A96" s="192"/>
      <x:c r="B96" s="193"/>
      <x:c r="C96" s="193"/>
      <x:c r="D96" s="194"/>
      <x:c r="E96" s="194"/>
      <x:c r="F96" s="194"/>
      <x:c r="G96" s="194"/>
      <x:c r="H96" s="194"/>
      <x:c r="I96" s="194"/>
      <x:c r="J96" s="194"/>
      <x:c r="K96" s="194"/>
      <x:c r="L96" s="194"/>
      <x:c r="M96" s="195"/>
      <x:c r="N96" s="195"/>
      <x:c r="O96" s="195"/>
      <x:c r="P96" s="195"/>
      <x:c r="Q96" s="195"/>
      <x:c r="R96" s="195"/>
      <x:c r="S96" s="196" t="str">
        <x:f>IF(OR(M96="",N96="",Q96="",M96=0),"",ABS((M96-N96)/M96*Q96))</x:f>
      </x:c>
      <x:c r="T96" s="196" t="str">
        <x:f>IF(OR(M96="",N96="",O96="",M96=N96),"",ABS((O96-M96)/(M96-N96)))</x:f>
      </x:c>
      <x:c r="U96" s="195"/>
      <x:c r="V96" s="196" t="str">
        <x:f>IF(U96&lt;&gt;"",U96,IF(OR(P96="",M96="",Q96="",E96=""),"",IF(E96="做多",(P96-M96)/M96*Q96-R96,(M96-P96)/M96*Q96-R96)))</x:f>
      </x:c>
      <x:c r="W96" s="197" t="str">
        <x:f>IF(OR(V96="",S96="",S96=0),"",V96/S96)</x:f>
      </x:c>
      <x:c r="X96" s="198" t="str">
        <x:f>IF(V96="","",IF(V96&gt;0,"Win",IF(V96&lt;0,"Loss","BE")))</x:f>
      </x:c>
      <x:c r="Y96" s="194"/>
      <x:c r="Z96" s="194"/>
      <x:c r="AA96" s="194"/>
      <x:c r="AB96" s="194"/>
      <x:c r="AC96" s="194"/>
      <x:c r="AD96" s="196" t="str">
        <x:f>IF(A96="","",SUM($V$4:V96))</x:f>
      </x:c>
      <x:c r="AE96" s="196" t="str">
        <x:f>IF(AD96="","",MAX(0,$AD$4:AD96))</x:f>
      </x:c>
      <x:c r="AF96" s="199" t="str">
        <x:f>IF(AD96="","",AD96-AE96)</x:f>
      </x:c>
    </x:row>
    <x:row r="97">
      <x:c r="A97" s="192"/>
      <x:c r="B97" s="193"/>
      <x:c r="C97" s="193"/>
      <x:c r="D97" s="194"/>
      <x:c r="E97" s="194"/>
      <x:c r="F97" s="194"/>
      <x:c r="G97" s="194"/>
      <x:c r="H97" s="194"/>
      <x:c r="I97" s="194"/>
      <x:c r="J97" s="194"/>
      <x:c r="K97" s="194"/>
      <x:c r="L97" s="194"/>
      <x:c r="M97" s="195"/>
      <x:c r="N97" s="195"/>
      <x:c r="O97" s="195"/>
      <x:c r="P97" s="195"/>
      <x:c r="Q97" s="195"/>
      <x:c r="R97" s="195"/>
      <x:c r="S97" s="196" t="str">
        <x:f>IF(OR(M97="",N97="",Q97="",M97=0),"",ABS((M97-N97)/M97*Q97))</x:f>
      </x:c>
      <x:c r="T97" s="196" t="str">
        <x:f>IF(OR(M97="",N97="",O97="",M97=N97),"",ABS((O97-M97)/(M97-N97)))</x:f>
      </x:c>
      <x:c r="U97" s="195"/>
      <x:c r="V97" s="196" t="str">
        <x:f>IF(U97&lt;&gt;"",U97,IF(OR(P97="",M97="",Q97="",E97=""),"",IF(E97="做多",(P97-M97)/M97*Q97-R97,(M97-P97)/M97*Q97-R97)))</x:f>
      </x:c>
      <x:c r="W97" s="197" t="str">
        <x:f>IF(OR(V97="",S97="",S97=0),"",V97/S97)</x:f>
      </x:c>
      <x:c r="X97" s="198" t="str">
        <x:f>IF(V97="","",IF(V97&gt;0,"Win",IF(V97&lt;0,"Loss","BE")))</x:f>
      </x:c>
      <x:c r="Y97" s="194"/>
      <x:c r="Z97" s="194"/>
      <x:c r="AA97" s="194"/>
      <x:c r="AB97" s="194"/>
      <x:c r="AC97" s="194"/>
      <x:c r="AD97" s="196" t="str">
        <x:f>IF(A97="","",SUM($V$4:V97))</x:f>
      </x:c>
      <x:c r="AE97" s="196" t="str">
        <x:f>IF(AD97="","",MAX(0,$AD$4:AD97))</x:f>
      </x:c>
      <x:c r="AF97" s="199" t="str">
        <x:f>IF(AD97="","",AD97-AE97)</x:f>
      </x:c>
    </x:row>
    <x:row r="98">
      <x:c r="A98" s="192"/>
      <x:c r="B98" s="193"/>
      <x:c r="C98" s="193"/>
      <x:c r="D98" s="194"/>
      <x:c r="E98" s="194"/>
      <x:c r="F98" s="194"/>
      <x:c r="G98" s="194"/>
      <x:c r="H98" s="194"/>
      <x:c r="I98" s="194"/>
      <x:c r="J98" s="194"/>
      <x:c r="K98" s="194"/>
      <x:c r="L98" s="194"/>
      <x:c r="M98" s="195"/>
      <x:c r="N98" s="195"/>
      <x:c r="O98" s="195"/>
      <x:c r="P98" s="195"/>
      <x:c r="Q98" s="195"/>
      <x:c r="R98" s="195"/>
      <x:c r="S98" s="196" t="str">
        <x:f>IF(OR(M98="",N98="",Q98="",M98=0),"",ABS((M98-N98)/M98*Q98))</x:f>
      </x:c>
      <x:c r="T98" s="196" t="str">
        <x:f>IF(OR(M98="",N98="",O98="",M98=N98),"",ABS((O98-M98)/(M98-N98)))</x:f>
      </x:c>
      <x:c r="U98" s="195"/>
      <x:c r="V98" s="196" t="str">
        <x:f>IF(U98&lt;&gt;"",U98,IF(OR(P98="",M98="",Q98="",E98=""),"",IF(E98="做多",(P98-M98)/M98*Q98-R98,(M98-P98)/M98*Q98-R98)))</x:f>
      </x:c>
      <x:c r="W98" s="197" t="str">
        <x:f>IF(OR(V98="",S98="",S98=0),"",V98/S98)</x:f>
      </x:c>
      <x:c r="X98" s="198" t="str">
        <x:f>IF(V98="","",IF(V98&gt;0,"Win",IF(V98&lt;0,"Loss","BE")))</x:f>
      </x:c>
      <x:c r="Y98" s="194"/>
      <x:c r="Z98" s="194"/>
      <x:c r="AA98" s="194"/>
      <x:c r="AB98" s="194"/>
      <x:c r="AC98" s="194"/>
      <x:c r="AD98" s="196" t="str">
        <x:f>IF(A98="","",SUM($V$4:V98))</x:f>
      </x:c>
      <x:c r="AE98" s="196" t="str">
        <x:f>IF(AD98="","",MAX(0,$AD$4:AD98))</x:f>
      </x:c>
      <x:c r="AF98" s="199" t="str">
        <x:f>IF(AD98="","",AD98-AE98)</x:f>
      </x:c>
    </x:row>
    <x:row r="99">
      <x:c r="A99" s="192"/>
      <x:c r="B99" s="193"/>
      <x:c r="C99" s="193"/>
      <x:c r="D99" s="194"/>
      <x:c r="E99" s="194"/>
      <x:c r="F99" s="194"/>
      <x:c r="G99" s="194"/>
      <x:c r="H99" s="194"/>
      <x:c r="I99" s="194"/>
      <x:c r="J99" s="194"/>
      <x:c r="K99" s="194"/>
      <x:c r="L99" s="194"/>
      <x:c r="M99" s="195"/>
      <x:c r="N99" s="195"/>
      <x:c r="O99" s="195"/>
      <x:c r="P99" s="195"/>
      <x:c r="Q99" s="195"/>
      <x:c r="R99" s="195"/>
      <x:c r="S99" s="196" t="str">
        <x:f>IF(OR(M99="",N99="",Q99="",M99=0),"",ABS((M99-N99)/M99*Q99))</x:f>
      </x:c>
      <x:c r="T99" s="196" t="str">
        <x:f>IF(OR(M99="",N99="",O99="",M99=N99),"",ABS((O99-M99)/(M99-N99)))</x:f>
      </x:c>
      <x:c r="U99" s="195"/>
      <x:c r="V99" s="196" t="str">
        <x:f>IF(U99&lt;&gt;"",U99,IF(OR(P99="",M99="",Q99="",E99=""),"",IF(E99="做多",(P99-M99)/M99*Q99-R99,(M99-P99)/M99*Q99-R99)))</x:f>
      </x:c>
      <x:c r="W99" s="197" t="str">
        <x:f>IF(OR(V99="",S99="",S99=0),"",V99/S99)</x:f>
      </x:c>
      <x:c r="X99" s="198" t="str">
        <x:f>IF(V99="","",IF(V99&gt;0,"Win",IF(V99&lt;0,"Loss","BE")))</x:f>
      </x:c>
      <x:c r="Y99" s="194"/>
      <x:c r="Z99" s="194"/>
      <x:c r="AA99" s="194"/>
      <x:c r="AB99" s="194"/>
      <x:c r="AC99" s="194"/>
      <x:c r="AD99" s="196" t="str">
        <x:f>IF(A99="","",SUM($V$4:V99))</x:f>
      </x:c>
      <x:c r="AE99" s="196" t="str">
        <x:f>IF(AD99="","",MAX(0,$AD$4:AD99))</x:f>
      </x:c>
      <x:c r="AF99" s="199" t="str">
        <x:f>IF(AD99="","",AD99-AE99)</x:f>
      </x:c>
    </x:row>
    <x:row r="100">
      <x:c r="A100" s="192"/>
      <x:c r="B100" s="193"/>
      <x:c r="C100" s="193"/>
      <x:c r="D100" s="194"/>
      <x:c r="E100" s="194"/>
      <x:c r="F100" s="194"/>
      <x:c r="G100" s="194"/>
      <x:c r="H100" s="194"/>
      <x:c r="I100" s="194"/>
      <x:c r="J100" s="194"/>
      <x:c r="K100" s="194"/>
      <x:c r="L100" s="194"/>
      <x:c r="M100" s="195"/>
      <x:c r="N100" s="195"/>
      <x:c r="O100" s="195"/>
      <x:c r="P100" s="195"/>
      <x:c r="Q100" s="195"/>
      <x:c r="R100" s="195"/>
      <x:c r="S100" s="196" t="str">
        <x:f>IF(OR(M100="",N100="",Q100="",M100=0),"",ABS((M100-N100)/M100*Q100))</x:f>
      </x:c>
      <x:c r="T100" s="196" t="str">
        <x:f>IF(OR(M100="",N100="",O100="",M100=N100),"",ABS((O100-M100)/(M100-N100)))</x:f>
      </x:c>
      <x:c r="U100" s="195"/>
      <x:c r="V100" s="196" t="str">
        <x:f>IF(U100&lt;&gt;"",U100,IF(OR(P100="",M100="",Q100="",E100=""),"",IF(E100="做多",(P100-M100)/M100*Q100-R100,(M100-P100)/M100*Q100-R100)))</x:f>
      </x:c>
      <x:c r="W100" s="197" t="str">
        <x:f>IF(OR(V100="",S100="",S100=0),"",V100/S100)</x:f>
      </x:c>
      <x:c r="X100" s="198" t="str">
        <x:f>IF(V100="","",IF(V100&gt;0,"Win",IF(V100&lt;0,"Loss","BE")))</x:f>
      </x:c>
      <x:c r="Y100" s="194"/>
      <x:c r="Z100" s="194"/>
      <x:c r="AA100" s="194"/>
      <x:c r="AB100" s="194"/>
      <x:c r="AC100" s="194"/>
      <x:c r="AD100" s="196" t="str">
        <x:f>IF(A100="","",SUM($V$4:V100))</x:f>
      </x:c>
      <x:c r="AE100" s="196" t="str">
        <x:f>IF(AD100="","",MAX(0,$AD$4:AD100))</x:f>
      </x:c>
      <x:c r="AF100" s="199" t="str">
        <x:f>IF(AD100="","",AD100-AE100)</x:f>
      </x:c>
    </x:row>
    <x:row r="101">
      <x:c r="A101" s="192"/>
      <x:c r="B101" s="193"/>
      <x:c r="C101" s="193"/>
      <x:c r="D101" s="194"/>
      <x:c r="E101" s="194"/>
      <x:c r="F101" s="194"/>
      <x:c r="G101" s="194"/>
      <x:c r="H101" s="194"/>
      <x:c r="I101" s="194"/>
      <x:c r="J101" s="194"/>
      <x:c r="K101" s="194"/>
      <x:c r="L101" s="194"/>
      <x:c r="M101" s="195"/>
      <x:c r="N101" s="195"/>
      <x:c r="O101" s="195"/>
      <x:c r="P101" s="195"/>
      <x:c r="Q101" s="195"/>
      <x:c r="R101" s="195"/>
      <x:c r="S101" s="196" t="str">
        <x:f>IF(OR(M101="",N101="",Q101="",M101=0),"",ABS((M101-N101)/M101*Q101))</x:f>
      </x:c>
      <x:c r="T101" s="196" t="str">
        <x:f>IF(OR(M101="",N101="",O101="",M101=N101),"",ABS((O101-M101)/(M101-N101)))</x:f>
      </x:c>
      <x:c r="U101" s="195"/>
      <x:c r="V101" s="196" t="str">
        <x:f>IF(U101&lt;&gt;"",U101,IF(OR(P101="",M101="",Q101="",E101=""),"",IF(E101="做多",(P101-M101)/M101*Q101-R101,(M101-P101)/M101*Q101-R101)))</x:f>
      </x:c>
      <x:c r="W101" s="197" t="str">
        <x:f>IF(OR(V101="",S101="",S101=0),"",V101/S101)</x:f>
      </x:c>
      <x:c r="X101" s="198" t="str">
        <x:f>IF(V101="","",IF(V101&gt;0,"Win",IF(V101&lt;0,"Loss","BE")))</x:f>
      </x:c>
      <x:c r="Y101" s="194"/>
      <x:c r="Z101" s="194"/>
      <x:c r="AA101" s="194"/>
      <x:c r="AB101" s="194"/>
      <x:c r="AC101" s="194"/>
      <x:c r="AD101" s="196" t="str">
        <x:f>IF(A101="","",SUM($V$4:V101))</x:f>
      </x:c>
      <x:c r="AE101" s="196" t="str">
        <x:f>IF(AD101="","",MAX(0,$AD$4:AD101))</x:f>
      </x:c>
      <x:c r="AF101" s="199" t="str">
        <x:f>IF(AD101="","",AD101-AE101)</x:f>
      </x:c>
    </x:row>
    <x:row r="102">
      <x:c r="A102" s="192"/>
      <x:c r="B102" s="193"/>
      <x:c r="C102" s="193"/>
      <x:c r="D102" s="194"/>
      <x:c r="E102" s="194"/>
      <x:c r="F102" s="194"/>
      <x:c r="G102" s="194"/>
      <x:c r="H102" s="194"/>
      <x:c r="I102" s="194"/>
      <x:c r="J102" s="194"/>
      <x:c r="K102" s="194"/>
      <x:c r="L102" s="194"/>
      <x:c r="M102" s="195"/>
      <x:c r="N102" s="195"/>
      <x:c r="O102" s="195"/>
      <x:c r="P102" s="195"/>
      <x:c r="Q102" s="195"/>
      <x:c r="R102" s="195"/>
      <x:c r="S102" s="196" t="str">
        <x:f>IF(OR(M102="",N102="",Q102="",M102=0),"",ABS((M102-N102)/M102*Q102))</x:f>
      </x:c>
      <x:c r="T102" s="196" t="str">
        <x:f>IF(OR(M102="",N102="",O102="",M102=N102),"",ABS((O102-M102)/(M102-N102)))</x:f>
      </x:c>
      <x:c r="U102" s="195"/>
      <x:c r="V102" s="196" t="str">
        <x:f>IF(U102&lt;&gt;"",U102,IF(OR(P102="",M102="",Q102="",E102=""),"",IF(E102="做多",(P102-M102)/M102*Q102-R102,(M102-P102)/M102*Q102-R102)))</x:f>
      </x:c>
      <x:c r="W102" s="197" t="str">
        <x:f>IF(OR(V102="",S102="",S102=0),"",V102/S102)</x:f>
      </x:c>
      <x:c r="X102" s="198" t="str">
        <x:f>IF(V102="","",IF(V102&gt;0,"Win",IF(V102&lt;0,"Loss","BE")))</x:f>
      </x:c>
      <x:c r="Y102" s="194"/>
      <x:c r="Z102" s="194"/>
      <x:c r="AA102" s="194"/>
      <x:c r="AB102" s="194"/>
      <x:c r="AC102" s="194"/>
      <x:c r="AD102" s="196" t="str">
        <x:f>IF(A102="","",SUM($V$4:V102))</x:f>
      </x:c>
      <x:c r="AE102" s="196" t="str">
        <x:f>IF(AD102="","",MAX(0,$AD$4:AD102))</x:f>
      </x:c>
      <x:c r="AF102" s="199" t="str">
        <x:f>IF(AD102="","",AD102-AE102)</x:f>
      </x:c>
    </x:row>
    <x:row r="103">
      <x:c r="A103" s="192"/>
      <x:c r="B103" s="193"/>
      <x:c r="C103" s="193"/>
      <x:c r="D103" s="194"/>
      <x:c r="E103" s="194"/>
      <x:c r="F103" s="194"/>
      <x:c r="G103" s="194"/>
      <x:c r="H103" s="194"/>
      <x:c r="I103" s="194"/>
      <x:c r="J103" s="194"/>
      <x:c r="K103" s="194"/>
      <x:c r="L103" s="194"/>
      <x:c r="M103" s="195"/>
      <x:c r="N103" s="195"/>
      <x:c r="O103" s="195"/>
      <x:c r="P103" s="195"/>
      <x:c r="Q103" s="195"/>
      <x:c r="R103" s="195"/>
      <x:c r="S103" s="196" t="str">
        <x:f>IF(OR(M103="",N103="",Q103="",M103=0),"",ABS((M103-N103)/M103*Q103))</x:f>
      </x:c>
      <x:c r="T103" s="196" t="str">
        <x:f>IF(OR(M103="",N103="",O103="",M103=N103),"",ABS((O103-M103)/(M103-N103)))</x:f>
      </x:c>
      <x:c r="U103" s="195"/>
      <x:c r="V103" s="196" t="str">
        <x:f>IF(U103&lt;&gt;"",U103,IF(OR(P103="",M103="",Q103="",E103=""),"",IF(E103="做多",(P103-M103)/M103*Q103-R103,(M103-P103)/M103*Q103-R103)))</x:f>
      </x:c>
      <x:c r="W103" s="197" t="str">
        <x:f>IF(OR(V103="",S103="",S103=0),"",V103/S103)</x:f>
      </x:c>
      <x:c r="X103" s="198" t="str">
        <x:f>IF(V103="","",IF(V103&gt;0,"Win",IF(V103&lt;0,"Loss","BE")))</x:f>
      </x:c>
      <x:c r="Y103" s="194"/>
      <x:c r="Z103" s="194"/>
      <x:c r="AA103" s="194"/>
      <x:c r="AB103" s="194"/>
      <x:c r="AC103" s="194"/>
      <x:c r="AD103" s="196" t="str">
        <x:f>IF(A103="","",SUM($V$4:V103))</x:f>
      </x:c>
      <x:c r="AE103" s="196" t="str">
        <x:f>IF(AD103="","",MAX(0,$AD$4:AD103))</x:f>
      </x:c>
      <x:c r="AF103" s="199" t="str">
        <x:f>IF(AD103="","",AD103-AE103)</x:f>
      </x:c>
    </x:row>
    <x:row r="104">
      <x:c r="A104" s="192"/>
      <x:c r="B104" s="193"/>
      <x:c r="C104" s="193"/>
      <x:c r="D104" s="194"/>
      <x:c r="E104" s="194"/>
      <x:c r="F104" s="194"/>
      <x:c r="G104" s="194"/>
      <x:c r="H104" s="194"/>
      <x:c r="I104" s="194"/>
      <x:c r="J104" s="194"/>
      <x:c r="K104" s="194"/>
      <x:c r="L104" s="194"/>
      <x:c r="M104" s="195"/>
      <x:c r="N104" s="195"/>
      <x:c r="O104" s="195"/>
      <x:c r="P104" s="195"/>
      <x:c r="Q104" s="195"/>
      <x:c r="R104" s="195"/>
      <x:c r="S104" s="196" t="str">
        <x:f>IF(OR(M104="",N104="",Q104="",M104=0),"",ABS((M104-N104)/M104*Q104))</x:f>
      </x:c>
      <x:c r="T104" s="196" t="str">
        <x:f>IF(OR(M104="",N104="",O104="",M104=N104),"",ABS((O104-M104)/(M104-N104)))</x:f>
      </x:c>
      <x:c r="U104" s="195"/>
      <x:c r="V104" s="196" t="str">
        <x:f>IF(U104&lt;&gt;"",U104,IF(OR(P104="",M104="",Q104="",E104=""),"",IF(E104="做多",(P104-M104)/M104*Q104-R104,(M104-P104)/M104*Q104-R104)))</x:f>
      </x:c>
      <x:c r="W104" s="197" t="str">
        <x:f>IF(OR(V104="",S104="",S104=0),"",V104/S104)</x:f>
      </x:c>
      <x:c r="X104" s="198" t="str">
        <x:f>IF(V104="","",IF(V104&gt;0,"Win",IF(V104&lt;0,"Loss","BE")))</x:f>
      </x:c>
      <x:c r="Y104" s="194"/>
      <x:c r="Z104" s="194"/>
      <x:c r="AA104" s="194"/>
      <x:c r="AB104" s="194"/>
      <x:c r="AC104" s="194"/>
      <x:c r="AD104" s="196" t="str">
        <x:f>IF(A104="","",SUM($V$4:V104))</x:f>
      </x:c>
      <x:c r="AE104" s="196" t="str">
        <x:f>IF(AD104="","",MAX(0,$AD$4:AD104))</x:f>
      </x:c>
      <x:c r="AF104" s="199" t="str">
        <x:f>IF(AD104="","",AD104-AE104)</x:f>
      </x:c>
    </x:row>
    <x:row r="105">
      <x:c r="A105" s="192"/>
      <x:c r="B105" s="193"/>
      <x:c r="C105" s="193"/>
      <x:c r="D105" s="194"/>
      <x:c r="E105" s="194"/>
      <x:c r="F105" s="194"/>
      <x:c r="G105" s="194"/>
      <x:c r="H105" s="194"/>
      <x:c r="I105" s="194"/>
      <x:c r="J105" s="194"/>
      <x:c r="K105" s="194"/>
      <x:c r="L105" s="194"/>
      <x:c r="M105" s="195"/>
      <x:c r="N105" s="195"/>
      <x:c r="O105" s="195"/>
      <x:c r="P105" s="195"/>
      <x:c r="Q105" s="195"/>
      <x:c r="R105" s="195"/>
      <x:c r="S105" s="196" t="str">
        <x:f>IF(OR(M105="",N105="",Q105="",M105=0),"",ABS((M105-N105)/M105*Q105))</x:f>
      </x:c>
      <x:c r="T105" s="196" t="str">
        <x:f>IF(OR(M105="",N105="",O105="",M105=N105),"",ABS((O105-M105)/(M105-N105)))</x:f>
      </x:c>
      <x:c r="U105" s="195"/>
      <x:c r="V105" s="196" t="str">
        <x:f>IF(U105&lt;&gt;"",U105,IF(OR(P105="",M105="",Q105="",E105=""),"",IF(E105="做多",(P105-M105)/M105*Q105-R105,(M105-P105)/M105*Q105-R105)))</x:f>
      </x:c>
      <x:c r="W105" s="197" t="str">
        <x:f>IF(OR(V105="",S105="",S105=0),"",V105/S105)</x:f>
      </x:c>
      <x:c r="X105" s="198" t="str">
        <x:f>IF(V105="","",IF(V105&gt;0,"Win",IF(V105&lt;0,"Loss","BE")))</x:f>
      </x:c>
      <x:c r="Y105" s="194"/>
      <x:c r="Z105" s="194"/>
      <x:c r="AA105" s="194"/>
      <x:c r="AB105" s="194"/>
      <x:c r="AC105" s="194"/>
      <x:c r="AD105" s="196" t="str">
        <x:f>IF(A105="","",SUM($V$4:V105))</x:f>
      </x:c>
      <x:c r="AE105" s="196" t="str">
        <x:f>IF(AD105="","",MAX(0,$AD$4:AD105))</x:f>
      </x:c>
      <x:c r="AF105" s="199" t="str">
        <x:f>IF(AD105="","",AD105-AE105)</x:f>
      </x:c>
    </x:row>
    <x:row r="106">
      <x:c r="A106" s="192"/>
      <x:c r="B106" s="193"/>
      <x:c r="C106" s="193"/>
      <x:c r="D106" s="194"/>
      <x:c r="E106" s="194"/>
      <x:c r="F106" s="194"/>
      <x:c r="G106" s="194"/>
      <x:c r="H106" s="194"/>
      <x:c r="I106" s="194"/>
      <x:c r="J106" s="194"/>
      <x:c r="K106" s="194"/>
      <x:c r="L106" s="194"/>
      <x:c r="M106" s="195"/>
      <x:c r="N106" s="195"/>
      <x:c r="O106" s="195"/>
      <x:c r="P106" s="195"/>
      <x:c r="Q106" s="195"/>
      <x:c r="R106" s="195"/>
      <x:c r="S106" s="196" t="str">
        <x:f>IF(OR(M106="",N106="",Q106="",M106=0),"",ABS((M106-N106)/M106*Q106))</x:f>
      </x:c>
      <x:c r="T106" s="196" t="str">
        <x:f>IF(OR(M106="",N106="",O106="",M106=N106),"",ABS((O106-M106)/(M106-N106)))</x:f>
      </x:c>
      <x:c r="U106" s="195"/>
      <x:c r="V106" s="196" t="str">
        <x:f>IF(U106&lt;&gt;"",U106,IF(OR(P106="",M106="",Q106="",E106=""),"",IF(E106="做多",(P106-M106)/M106*Q106-R106,(M106-P106)/M106*Q106-R106)))</x:f>
      </x:c>
      <x:c r="W106" s="197" t="str">
        <x:f>IF(OR(V106="",S106="",S106=0),"",V106/S106)</x:f>
      </x:c>
      <x:c r="X106" s="198" t="str">
        <x:f>IF(V106="","",IF(V106&gt;0,"Win",IF(V106&lt;0,"Loss","BE")))</x:f>
      </x:c>
      <x:c r="Y106" s="194"/>
      <x:c r="Z106" s="194"/>
      <x:c r="AA106" s="194"/>
      <x:c r="AB106" s="194"/>
      <x:c r="AC106" s="194"/>
      <x:c r="AD106" s="196" t="str">
        <x:f>IF(A106="","",SUM($V$4:V106))</x:f>
      </x:c>
      <x:c r="AE106" s="196" t="str">
        <x:f>IF(AD106="","",MAX(0,$AD$4:AD106))</x:f>
      </x:c>
      <x:c r="AF106" s="199" t="str">
        <x:f>IF(AD106="","",AD106-AE106)</x:f>
      </x:c>
    </x:row>
    <x:row r="107">
      <x:c r="A107" s="192"/>
      <x:c r="B107" s="193"/>
      <x:c r="C107" s="193"/>
      <x:c r="D107" s="194"/>
      <x:c r="E107" s="194"/>
      <x:c r="F107" s="194"/>
      <x:c r="G107" s="194"/>
      <x:c r="H107" s="194"/>
      <x:c r="I107" s="194"/>
      <x:c r="J107" s="194"/>
      <x:c r="K107" s="194"/>
      <x:c r="L107" s="194"/>
      <x:c r="M107" s="195"/>
      <x:c r="N107" s="195"/>
      <x:c r="O107" s="195"/>
      <x:c r="P107" s="195"/>
      <x:c r="Q107" s="195"/>
      <x:c r="R107" s="195"/>
      <x:c r="S107" s="196" t="str">
        <x:f>IF(OR(M107="",N107="",Q107="",M107=0),"",ABS((M107-N107)/M107*Q107))</x:f>
      </x:c>
      <x:c r="T107" s="196" t="str">
        <x:f>IF(OR(M107="",N107="",O107="",M107=N107),"",ABS((O107-M107)/(M107-N107)))</x:f>
      </x:c>
      <x:c r="U107" s="195"/>
      <x:c r="V107" s="196" t="str">
        <x:f>IF(U107&lt;&gt;"",U107,IF(OR(P107="",M107="",Q107="",E107=""),"",IF(E107="做多",(P107-M107)/M107*Q107-R107,(M107-P107)/M107*Q107-R107)))</x:f>
      </x:c>
      <x:c r="W107" s="197" t="str">
        <x:f>IF(OR(V107="",S107="",S107=0),"",V107/S107)</x:f>
      </x:c>
      <x:c r="X107" s="198" t="str">
        <x:f>IF(V107="","",IF(V107&gt;0,"Win",IF(V107&lt;0,"Loss","BE")))</x:f>
      </x:c>
      <x:c r="Y107" s="194"/>
      <x:c r="Z107" s="194"/>
      <x:c r="AA107" s="194"/>
      <x:c r="AB107" s="194"/>
      <x:c r="AC107" s="194"/>
      <x:c r="AD107" s="196" t="str">
        <x:f>IF(A107="","",SUM($V$4:V107))</x:f>
      </x:c>
      <x:c r="AE107" s="196" t="str">
        <x:f>IF(AD107="","",MAX(0,$AD$4:AD107))</x:f>
      </x:c>
      <x:c r="AF107" s="199" t="str">
        <x:f>IF(AD107="","",AD107-AE107)</x:f>
      </x:c>
    </x:row>
    <x:row r="108">
      <x:c r="A108" s="192"/>
      <x:c r="B108" s="193"/>
      <x:c r="C108" s="193"/>
      <x:c r="D108" s="194"/>
      <x:c r="E108" s="194"/>
      <x:c r="F108" s="194"/>
      <x:c r="G108" s="194"/>
      <x:c r="H108" s="194"/>
      <x:c r="I108" s="194"/>
      <x:c r="J108" s="194"/>
      <x:c r="K108" s="194"/>
      <x:c r="L108" s="194"/>
      <x:c r="M108" s="195"/>
      <x:c r="N108" s="195"/>
      <x:c r="O108" s="195"/>
      <x:c r="P108" s="195"/>
      <x:c r="Q108" s="195"/>
      <x:c r="R108" s="195"/>
      <x:c r="S108" s="196" t="str">
        <x:f>IF(OR(M108="",N108="",Q108="",M108=0),"",ABS((M108-N108)/M108*Q108))</x:f>
      </x:c>
      <x:c r="T108" s="196" t="str">
        <x:f>IF(OR(M108="",N108="",O108="",M108=N108),"",ABS((O108-M108)/(M108-N108)))</x:f>
      </x:c>
      <x:c r="U108" s="195"/>
      <x:c r="V108" s="196" t="str">
        <x:f>IF(U108&lt;&gt;"",U108,IF(OR(P108="",M108="",Q108="",E108=""),"",IF(E108="做多",(P108-M108)/M108*Q108-R108,(M108-P108)/M108*Q108-R108)))</x:f>
      </x:c>
      <x:c r="W108" s="197" t="str">
        <x:f>IF(OR(V108="",S108="",S108=0),"",V108/S108)</x:f>
      </x:c>
      <x:c r="X108" s="198" t="str">
        <x:f>IF(V108="","",IF(V108&gt;0,"Win",IF(V108&lt;0,"Loss","BE")))</x:f>
      </x:c>
      <x:c r="Y108" s="194"/>
      <x:c r="Z108" s="194"/>
      <x:c r="AA108" s="194"/>
      <x:c r="AB108" s="194"/>
      <x:c r="AC108" s="194"/>
      <x:c r="AD108" s="196" t="str">
        <x:f>IF(A108="","",SUM($V$4:V108))</x:f>
      </x:c>
      <x:c r="AE108" s="196" t="str">
        <x:f>IF(AD108="","",MAX(0,$AD$4:AD108))</x:f>
      </x:c>
      <x:c r="AF108" s="199" t="str">
        <x:f>IF(AD108="","",AD108-AE108)</x:f>
      </x:c>
    </x:row>
    <x:row r="109">
      <x:c r="A109" s="192"/>
      <x:c r="B109" s="193"/>
      <x:c r="C109" s="193"/>
      <x:c r="D109" s="194"/>
      <x:c r="E109" s="194"/>
      <x:c r="F109" s="194"/>
      <x:c r="G109" s="194"/>
      <x:c r="H109" s="194"/>
      <x:c r="I109" s="194"/>
      <x:c r="J109" s="194"/>
      <x:c r="K109" s="194"/>
      <x:c r="L109" s="194"/>
      <x:c r="M109" s="195"/>
      <x:c r="N109" s="195"/>
      <x:c r="O109" s="195"/>
      <x:c r="P109" s="195"/>
      <x:c r="Q109" s="195"/>
      <x:c r="R109" s="195"/>
      <x:c r="S109" s="196" t="str">
        <x:f>IF(OR(M109="",N109="",Q109="",M109=0),"",ABS((M109-N109)/M109*Q109))</x:f>
      </x:c>
      <x:c r="T109" s="196" t="str">
        <x:f>IF(OR(M109="",N109="",O109="",M109=N109),"",ABS((O109-M109)/(M109-N109)))</x:f>
      </x:c>
      <x:c r="U109" s="195"/>
      <x:c r="V109" s="196" t="str">
        <x:f>IF(U109&lt;&gt;"",U109,IF(OR(P109="",M109="",Q109="",E109=""),"",IF(E109="做多",(P109-M109)/M109*Q109-R109,(M109-P109)/M109*Q109-R109)))</x:f>
      </x:c>
      <x:c r="W109" s="197" t="str">
        <x:f>IF(OR(V109="",S109="",S109=0),"",V109/S109)</x:f>
      </x:c>
      <x:c r="X109" s="198" t="str">
        <x:f>IF(V109="","",IF(V109&gt;0,"Win",IF(V109&lt;0,"Loss","BE")))</x:f>
      </x:c>
      <x:c r="Y109" s="194"/>
      <x:c r="Z109" s="194"/>
      <x:c r="AA109" s="194"/>
      <x:c r="AB109" s="194"/>
      <x:c r="AC109" s="194"/>
      <x:c r="AD109" s="196" t="str">
        <x:f>IF(A109="","",SUM($V$4:V109))</x:f>
      </x:c>
      <x:c r="AE109" s="196" t="str">
        <x:f>IF(AD109="","",MAX(0,$AD$4:AD109))</x:f>
      </x:c>
      <x:c r="AF109" s="199" t="str">
        <x:f>IF(AD109="","",AD109-AE109)</x:f>
      </x:c>
    </x:row>
    <x:row r="110">
      <x:c r="A110" s="192"/>
      <x:c r="B110" s="193"/>
      <x:c r="C110" s="193"/>
      <x:c r="D110" s="194"/>
      <x:c r="E110" s="194"/>
      <x:c r="F110" s="194"/>
      <x:c r="G110" s="194"/>
      <x:c r="H110" s="194"/>
      <x:c r="I110" s="194"/>
      <x:c r="J110" s="194"/>
      <x:c r="K110" s="194"/>
      <x:c r="L110" s="194"/>
      <x:c r="M110" s="195"/>
      <x:c r="N110" s="195"/>
      <x:c r="O110" s="195"/>
      <x:c r="P110" s="195"/>
      <x:c r="Q110" s="195"/>
      <x:c r="R110" s="195"/>
      <x:c r="S110" s="196" t="str">
        <x:f>IF(OR(M110="",N110="",Q110="",M110=0),"",ABS((M110-N110)/M110*Q110))</x:f>
      </x:c>
      <x:c r="T110" s="196" t="str">
        <x:f>IF(OR(M110="",N110="",O110="",M110=N110),"",ABS((O110-M110)/(M110-N110)))</x:f>
      </x:c>
      <x:c r="U110" s="195"/>
      <x:c r="V110" s="196" t="str">
        <x:f>IF(U110&lt;&gt;"",U110,IF(OR(P110="",M110="",Q110="",E110=""),"",IF(E110="做多",(P110-M110)/M110*Q110-R110,(M110-P110)/M110*Q110-R110)))</x:f>
      </x:c>
      <x:c r="W110" s="197" t="str">
        <x:f>IF(OR(V110="",S110="",S110=0),"",V110/S110)</x:f>
      </x:c>
      <x:c r="X110" s="198" t="str">
        <x:f>IF(V110="","",IF(V110&gt;0,"Win",IF(V110&lt;0,"Loss","BE")))</x:f>
      </x:c>
      <x:c r="Y110" s="194"/>
      <x:c r="Z110" s="194"/>
      <x:c r="AA110" s="194"/>
      <x:c r="AB110" s="194"/>
      <x:c r="AC110" s="194"/>
      <x:c r="AD110" s="196" t="str">
        <x:f>IF(A110="","",SUM($V$4:V110))</x:f>
      </x:c>
      <x:c r="AE110" s="196" t="str">
        <x:f>IF(AD110="","",MAX(0,$AD$4:AD110))</x:f>
      </x:c>
      <x:c r="AF110" s="199" t="str">
        <x:f>IF(AD110="","",AD110-AE110)</x:f>
      </x:c>
    </x:row>
    <x:row r="111">
      <x:c r="A111" s="192"/>
      <x:c r="B111" s="193"/>
      <x:c r="C111" s="193"/>
      <x:c r="D111" s="194"/>
      <x:c r="E111" s="194"/>
      <x:c r="F111" s="194"/>
      <x:c r="G111" s="194"/>
      <x:c r="H111" s="194"/>
      <x:c r="I111" s="194"/>
      <x:c r="J111" s="194"/>
      <x:c r="K111" s="194"/>
      <x:c r="L111" s="194"/>
      <x:c r="M111" s="195"/>
      <x:c r="N111" s="195"/>
      <x:c r="O111" s="195"/>
      <x:c r="P111" s="195"/>
      <x:c r="Q111" s="195"/>
      <x:c r="R111" s="195"/>
      <x:c r="S111" s="196" t="str">
        <x:f>IF(OR(M111="",N111="",Q111="",M111=0),"",ABS((M111-N111)/M111*Q111))</x:f>
      </x:c>
      <x:c r="T111" s="196" t="str">
        <x:f>IF(OR(M111="",N111="",O111="",M111=N111),"",ABS((O111-M111)/(M111-N111)))</x:f>
      </x:c>
      <x:c r="U111" s="195"/>
      <x:c r="V111" s="196" t="str">
        <x:f>IF(U111&lt;&gt;"",U111,IF(OR(P111="",M111="",Q111="",E111=""),"",IF(E111="做多",(P111-M111)/M111*Q111-R111,(M111-P111)/M111*Q111-R111)))</x:f>
      </x:c>
      <x:c r="W111" s="197" t="str">
        <x:f>IF(OR(V111="",S111="",S111=0),"",V111/S111)</x:f>
      </x:c>
      <x:c r="X111" s="198" t="str">
        <x:f>IF(V111="","",IF(V111&gt;0,"Win",IF(V111&lt;0,"Loss","BE")))</x:f>
      </x:c>
      <x:c r="Y111" s="194"/>
      <x:c r="Z111" s="194"/>
      <x:c r="AA111" s="194"/>
      <x:c r="AB111" s="194"/>
      <x:c r="AC111" s="194"/>
      <x:c r="AD111" s="196" t="str">
        <x:f>IF(A111="","",SUM($V$4:V111))</x:f>
      </x:c>
      <x:c r="AE111" s="196" t="str">
        <x:f>IF(AD111="","",MAX(0,$AD$4:AD111))</x:f>
      </x:c>
      <x:c r="AF111" s="199" t="str">
        <x:f>IF(AD111="","",AD111-AE111)</x:f>
      </x:c>
    </x:row>
    <x:row r="112">
      <x:c r="A112" s="192"/>
      <x:c r="B112" s="193"/>
      <x:c r="C112" s="193"/>
      <x:c r="D112" s="194"/>
      <x:c r="E112" s="194"/>
      <x:c r="F112" s="194"/>
      <x:c r="G112" s="194"/>
      <x:c r="H112" s="194"/>
      <x:c r="I112" s="194"/>
      <x:c r="J112" s="194"/>
      <x:c r="K112" s="194"/>
      <x:c r="L112" s="194"/>
      <x:c r="M112" s="195"/>
      <x:c r="N112" s="195"/>
      <x:c r="O112" s="195"/>
      <x:c r="P112" s="195"/>
      <x:c r="Q112" s="195"/>
      <x:c r="R112" s="195"/>
      <x:c r="S112" s="196" t="str">
        <x:f>IF(OR(M112="",N112="",Q112="",M112=0),"",ABS((M112-N112)/M112*Q112))</x:f>
      </x:c>
      <x:c r="T112" s="196" t="str">
        <x:f>IF(OR(M112="",N112="",O112="",M112=N112),"",ABS((O112-M112)/(M112-N112)))</x:f>
      </x:c>
      <x:c r="U112" s="195"/>
      <x:c r="V112" s="196" t="str">
        <x:f>IF(U112&lt;&gt;"",U112,IF(OR(P112="",M112="",Q112="",E112=""),"",IF(E112="做多",(P112-M112)/M112*Q112-R112,(M112-P112)/M112*Q112-R112)))</x:f>
      </x:c>
      <x:c r="W112" s="197" t="str">
        <x:f>IF(OR(V112="",S112="",S112=0),"",V112/S112)</x:f>
      </x:c>
      <x:c r="X112" s="198" t="str">
        <x:f>IF(V112="","",IF(V112&gt;0,"Win",IF(V112&lt;0,"Loss","BE")))</x:f>
      </x:c>
      <x:c r="Y112" s="194"/>
      <x:c r="Z112" s="194"/>
      <x:c r="AA112" s="194"/>
      <x:c r="AB112" s="194"/>
      <x:c r="AC112" s="194"/>
      <x:c r="AD112" s="196" t="str">
        <x:f>IF(A112="","",SUM($V$4:V112))</x:f>
      </x:c>
      <x:c r="AE112" s="196" t="str">
        <x:f>IF(AD112="","",MAX(0,$AD$4:AD112))</x:f>
      </x:c>
      <x:c r="AF112" s="199" t="str">
        <x:f>IF(AD112="","",AD112-AE112)</x:f>
      </x:c>
    </x:row>
    <x:row r="113">
      <x:c r="A113" s="192"/>
      <x:c r="B113" s="193"/>
      <x:c r="C113" s="193"/>
      <x:c r="D113" s="194"/>
      <x:c r="E113" s="194"/>
      <x:c r="F113" s="194"/>
      <x:c r="G113" s="194"/>
      <x:c r="H113" s="194"/>
      <x:c r="I113" s="194"/>
      <x:c r="J113" s="194"/>
      <x:c r="K113" s="194"/>
      <x:c r="L113" s="194"/>
      <x:c r="M113" s="195"/>
      <x:c r="N113" s="195"/>
      <x:c r="O113" s="195"/>
      <x:c r="P113" s="195"/>
      <x:c r="Q113" s="195"/>
      <x:c r="R113" s="195"/>
      <x:c r="S113" s="196" t="str">
        <x:f>IF(OR(M113="",N113="",Q113="",M113=0),"",ABS((M113-N113)/M113*Q113))</x:f>
      </x:c>
      <x:c r="T113" s="196" t="str">
        <x:f>IF(OR(M113="",N113="",O113="",M113=N113),"",ABS((O113-M113)/(M113-N113)))</x:f>
      </x:c>
      <x:c r="U113" s="195"/>
      <x:c r="V113" s="196" t="str">
        <x:f>IF(U113&lt;&gt;"",U113,IF(OR(P113="",M113="",Q113="",E113=""),"",IF(E113="做多",(P113-M113)/M113*Q113-R113,(M113-P113)/M113*Q113-R113)))</x:f>
      </x:c>
      <x:c r="W113" s="197" t="str">
        <x:f>IF(OR(V113="",S113="",S113=0),"",V113/S113)</x:f>
      </x:c>
      <x:c r="X113" s="198" t="str">
        <x:f>IF(V113="","",IF(V113&gt;0,"Win",IF(V113&lt;0,"Loss","BE")))</x:f>
      </x:c>
      <x:c r="Y113" s="194"/>
      <x:c r="Z113" s="194"/>
      <x:c r="AA113" s="194"/>
      <x:c r="AB113" s="194"/>
      <x:c r="AC113" s="194"/>
      <x:c r="AD113" s="196" t="str">
        <x:f>IF(A113="","",SUM($V$4:V113))</x:f>
      </x:c>
      <x:c r="AE113" s="196" t="str">
        <x:f>IF(AD113="","",MAX(0,$AD$4:AD113))</x:f>
      </x:c>
      <x:c r="AF113" s="199" t="str">
        <x:f>IF(AD113="","",AD113-AE113)</x:f>
      </x:c>
    </x:row>
    <x:row r="114">
      <x:c r="A114" s="192"/>
      <x:c r="B114" s="193"/>
      <x:c r="C114" s="193"/>
      <x:c r="D114" s="194"/>
      <x:c r="E114" s="194"/>
      <x:c r="F114" s="194"/>
      <x:c r="G114" s="194"/>
      <x:c r="H114" s="194"/>
      <x:c r="I114" s="194"/>
      <x:c r="J114" s="194"/>
      <x:c r="K114" s="194"/>
      <x:c r="L114" s="194"/>
      <x:c r="M114" s="195"/>
      <x:c r="N114" s="195"/>
      <x:c r="O114" s="195"/>
      <x:c r="P114" s="195"/>
      <x:c r="Q114" s="195"/>
      <x:c r="R114" s="195"/>
      <x:c r="S114" s="196" t="str">
        <x:f>IF(OR(M114="",N114="",Q114="",M114=0),"",ABS((M114-N114)/M114*Q114))</x:f>
      </x:c>
      <x:c r="T114" s="196" t="str">
        <x:f>IF(OR(M114="",N114="",O114="",M114=N114),"",ABS((O114-M114)/(M114-N114)))</x:f>
      </x:c>
      <x:c r="U114" s="195"/>
      <x:c r="V114" s="196" t="str">
        <x:f>IF(U114&lt;&gt;"",U114,IF(OR(P114="",M114="",Q114="",E114=""),"",IF(E114="做多",(P114-M114)/M114*Q114-R114,(M114-P114)/M114*Q114-R114)))</x:f>
      </x:c>
      <x:c r="W114" s="197" t="str">
        <x:f>IF(OR(V114="",S114="",S114=0),"",V114/S114)</x:f>
      </x:c>
      <x:c r="X114" s="198" t="str">
        <x:f>IF(V114="","",IF(V114&gt;0,"Win",IF(V114&lt;0,"Loss","BE")))</x:f>
      </x:c>
      <x:c r="Y114" s="194"/>
      <x:c r="Z114" s="194"/>
      <x:c r="AA114" s="194"/>
      <x:c r="AB114" s="194"/>
      <x:c r="AC114" s="194"/>
      <x:c r="AD114" s="196" t="str">
        <x:f>IF(A114="","",SUM($V$4:V114))</x:f>
      </x:c>
      <x:c r="AE114" s="196" t="str">
        <x:f>IF(AD114="","",MAX(0,$AD$4:AD114))</x:f>
      </x:c>
      <x:c r="AF114" s="199" t="str">
        <x:f>IF(AD114="","",AD114-AE114)</x:f>
      </x:c>
    </x:row>
    <x:row r="115">
      <x:c r="A115" s="192"/>
      <x:c r="B115" s="193"/>
      <x:c r="C115" s="193"/>
      <x:c r="D115" s="194"/>
      <x:c r="E115" s="194"/>
      <x:c r="F115" s="194"/>
      <x:c r="G115" s="194"/>
      <x:c r="H115" s="194"/>
      <x:c r="I115" s="194"/>
      <x:c r="J115" s="194"/>
      <x:c r="K115" s="194"/>
      <x:c r="L115" s="194"/>
      <x:c r="M115" s="195"/>
      <x:c r="N115" s="195"/>
      <x:c r="O115" s="195"/>
      <x:c r="P115" s="195"/>
      <x:c r="Q115" s="195"/>
      <x:c r="R115" s="195"/>
      <x:c r="S115" s="196" t="str">
        <x:f>IF(OR(M115="",N115="",Q115="",M115=0),"",ABS((M115-N115)/M115*Q115))</x:f>
      </x:c>
      <x:c r="T115" s="196" t="str">
        <x:f>IF(OR(M115="",N115="",O115="",M115=N115),"",ABS((O115-M115)/(M115-N115)))</x:f>
      </x:c>
      <x:c r="U115" s="195"/>
      <x:c r="V115" s="196" t="str">
        <x:f>IF(U115&lt;&gt;"",U115,IF(OR(P115="",M115="",Q115="",E115=""),"",IF(E115="做多",(P115-M115)/M115*Q115-R115,(M115-P115)/M115*Q115-R115)))</x:f>
      </x:c>
      <x:c r="W115" s="197" t="str">
        <x:f>IF(OR(V115="",S115="",S115=0),"",V115/S115)</x:f>
      </x:c>
      <x:c r="X115" s="198" t="str">
        <x:f>IF(V115="","",IF(V115&gt;0,"Win",IF(V115&lt;0,"Loss","BE")))</x:f>
      </x:c>
      <x:c r="Y115" s="194"/>
      <x:c r="Z115" s="194"/>
      <x:c r="AA115" s="194"/>
      <x:c r="AB115" s="194"/>
      <x:c r="AC115" s="194"/>
      <x:c r="AD115" s="196" t="str">
        <x:f>IF(A115="","",SUM($V$4:V115))</x:f>
      </x:c>
      <x:c r="AE115" s="196" t="str">
        <x:f>IF(AD115="","",MAX(0,$AD$4:AD115))</x:f>
      </x:c>
      <x:c r="AF115" s="199" t="str">
        <x:f>IF(AD115="","",AD115-AE115)</x:f>
      </x:c>
    </x:row>
    <x:row r="116">
      <x:c r="A116" s="192"/>
      <x:c r="B116" s="193"/>
      <x:c r="C116" s="193"/>
      <x:c r="D116" s="194"/>
      <x:c r="E116" s="194"/>
      <x:c r="F116" s="194"/>
      <x:c r="G116" s="194"/>
      <x:c r="H116" s="194"/>
      <x:c r="I116" s="194"/>
      <x:c r="J116" s="194"/>
      <x:c r="K116" s="194"/>
      <x:c r="L116" s="194"/>
      <x:c r="M116" s="195"/>
      <x:c r="N116" s="195"/>
      <x:c r="O116" s="195"/>
      <x:c r="P116" s="195"/>
      <x:c r="Q116" s="195"/>
      <x:c r="R116" s="195"/>
      <x:c r="S116" s="196" t="str">
        <x:f>IF(OR(M116="",N116="",Q116="",M116=0),"",ABS((M116-N116)/M116*Q116))</x:f>
      </x:c>
      <x:c r="T116" s="196" t="str">
        <x:f>IF(OR(M116="",N116="",O116="",M116=N116),"",ABS((O116-M116)/(M116-N116)))</x:f>
      </x:c>
      <x:c r="U116" s="195"/>
      <x:c r="V116" s="196" t="str">
        <x:f>IF(U116&lt;&gt;"",U116,IF(OR(P116="",M116="",Q116="",E116=""),"",IF(E116="做多",(P116-M116)/M116*Q116-R116,(M116-P116)/M116*Q116-R116)))</x:f>
      </x:c>
      <x:c r="W116" s="197" t="str">
        <x:f>IF(OR(V116="",S116="",S116=0),"",V116/S116)</x:f>
      </x:c>
      <x:c r="X116" s="198" t="str">
        <x:f>IF(V116="","",IF(V116&gt;0,"Win",IF(V116&lt;0,"Loss","BE")))</x:f>
      </x:c>
      <x:c r="Y116" s="194"/>
      <x:c r="Z116" s="194"/>
      <x:c r="AA116" s="194"/>
      <x:c r="AB116" s="194"/>
      <x:c r="AC116" s="194"/>
      <x:c r="AD116" s="196" t="str">
        <x:f>IF(A116="","",SUM($V$4:V116))</x:f>
      </x:c>
      <x:c r="AE116" s="196" t="str">
        <x:f>IF(AD116="","",MAX(0,$AD$4:AD116))</x:f>
      </x:c>
      <x:c r="AF116" s="199" t="str">
        <x:f>IF(AD116="","",AD116-AE116)</x:f>
      </x:c>
    </x:row>
    <x:row r="117">
      <x:c r="A117" s="192"/>
      <x:c r="B117" s="193"/>
      <x:c r="C117" s="193"/>
      <x:c r="D117" s="194"/>
      <x:c r="E117" s="194"/>
      <x:c r="F117" s="194"/>
      <x:c r="G117" s="194"/>
      <x:c r="H117" s="194"/>
      <x:c r="I117" s="194"/>
      <x:c r="J117" s="194"/>
      <x:c r="K117" s="194"/>
      <x:c r="L117" s="194"/>
      <x:c r="M117" s="195"/>
      <x:c r="N117" s="195"/>
      <x:c r="O117" s="195"/>
      <x:c r="P117" s="195"/>
      <x:c r="Q117" s="195"/>
      <x:c r="R117" s="195"/>
      <x:c r="S117" s="196" t="str">
        <x:f>IF(OR(M117="",N117="",Q117="",M117=0),"",ABS((M117-N117)/M117*Q117))</x:f>
      </x:c>
      <x:c r="T117" s="196" t="str">
        <x:f>IF(OR(M117="",N117="",O117="",M117=N117),"",ABS((O117-M117)/(M117-N117)))</x:f>
      </x:c>
      <x:c r="U117" s="195"/>
      <x:c r="V117" s="196" t="str">
        <x:f>IF(U117&lt;&gt;"",U117,IF(OR(P117="",M117="",Q117="",E117=""),"",IF(E117="做多",(P117-M117)/M117*Q117-R117,(M117-P117)/M117*Q117-R117)))</x:f>
      </x:c>
      <x:c r="W117" s="197" t="str">
        <x:f>IF(OR(V117="",S117="",S117=0),"",V117/S117)</x:f>
      </x:c>
      <x:c r="X117" s="198" t="str">
        <x:f>IF(V117="","",IF(V117&gt;0,"Win",IF(V117&lt;0,"Loss","BE")))</x:f>
      </x:c>
      <x:c r="Y117" s="194"/>
      <x:c r="Z117" s="194"/>
      <x:c r="AA117" s="194"/>
      <x:c r="AB117" s="194"/>
      <x:c r="AC117" s="194"/>
      <x:c r="AD117" s="196" t="str">
        <x:f>IF(A117="","",SUM($V$4:V117))</x:f>
      </x:c>
      <x:c r="AE117" s="196" t="str">
        <x:f>IF(AD117="","",MAX(0,$AD$4:AD117))</x:f>
      </x:c>
      <x:c r="AF117" s="199" t="str">
        <x:f>IF(AD117="","",AD117-AE117)</x:f>
      </x:c>
    </x:row>
    <x:row r="118">
      <x:c r="A118" s="192"/>
      <x:c r="B118" s="193"/>
      <x:c r="C118" s="193"/>
      <x:c r="D118" s="194"/>
      <x:c r="E118" s="194"/>
      <x:c r="F118" s="194"/>
      <x:c r="G118" s="194"/>
      <x:c r="H118" s="194"/>
      <x:c r="I118" s="194"/>
      <x:c r="J118" s="194"/>
      <x:c r="K118" s="194"/>
      <x:c r="L118" s="194"/>
      <x:c r="M118" s="195"/>
      <x:c r="N118" s="195"/>
      <x:c r="O118" s="195"/>
      <x:c r="P118" s="195"/>
      <x:c r="Q118" s="195"/>
      <x:c r="R118" s="195"/>
      <x:c r="S118" s="196" t="str">
        <x:f>IF(OR(M118="",N118="",Q118="",M118=0),"",ABS((M118-N118)/M118*Q118))</x:f>
      </x:c>
      <x:c r="T118" s="196" t="str">
        <x:f>IF(OR(M118="",N118="",O118="",M118=N118),"",ABS((O118-M118)/(M118-N118)))</x:f>
      </x:c>
      <x:c r="U118" s="195"/>
      <x:c r="V118" s="196" t="str">
        <x:f>IF(U118&lt;&gt;"",U118,IF(OR(P118="",M118="",Q118="",E118=""),"",IF(E118="做多",(P118-M118)/M118*Q118-R118,(M118-P118)/M118*Q118-R118)))</x:f>
      </x:c>
      <x:c r="W118" s="197" t="str">
        <x:f>IF(OR(V118="",S118="",S118=0),"",V118/S118)</x:f>
      </x:c>
      <x:c r="X118" s="198" t="str">
        <x:f>IF(V118="","",IF(V118&gt;0,"Win",IF(V118&lt;0,"Loss","BE")))</x:f>
      </x:c>
      <x:c r="Y118" s="194"/>
      <x:c r="Z118" s="194"/>
      <x:c r="AA118" s="194"/>
      <x:c r="AB118" s="194"/>
      <x:c r="AC118" s="194"/>
      <x:c r="AD118" s="196" t="str">
        <x:f>IF(A118="","",SUM($V$4:V118))</x:f>
      </x:c>
      <x:c r="AE118" s="196" t="str">
        <x:f>IF(AD118="","",MAX(0,$AD$4:AD118))</x:f>
      </x:c>
      <x:c r="AF118" s="199" t="str">
        <x:f>IF(AD118="","",AD118-AE118)</x:f>
      </x:c>
    </x:row>
    <x:row r="119">
      <x:c r="A119" s="192"/>
      <x:c r="B119" s="193"/>
      <x:c r="C119" s="193"/>
      <x:c r="D119" s="194"/>
      <x:c r="E119" s="194"/>
      <x:c r="F119" s="194"/>
      <x:c r="G119" s="194"/>
      <x:c r="H119" s="194"/>
      <x:c r="I119" s="194"/>
      <x:c r="J119" s="194"/>
      <x:c r="K119" s="194"/>
      <x:c r="L119" s="194"/>
      <x:c r="M119" s="195"/>
      <x:c r="N119" s="195"/>
      <x:c r="O119" s="195"/>
      <x:c r="P119" s="195"/>
      <x:c r="Q119" s="195"/>
      <x:c r="R119" s="195"/>
      <x:c r="S119" s="196" t="str">
        <x:f>IF(OR(M119="",N119="",Q119="",M119=0),"",ABS((M119-N119)/M119*Q119))</x:f>
      </x:c>
      <x:c r="T119" s="196" t="str">
        <x:f>IF(OR(M119="",N119="",O119="",M119=N119),"",ABS((O119-M119)/(M119-N119)))</x:f>
      </x:c>
      <x:c r="U119" s="195"/>
      <x:c r="V119" s="196" t="str">
        <x:f>IF(U119&lt;&gt;"",U119,IF(OR(P119="",M119="",Q119="",E119=""),"",IF(E119="做多",(P119-M119)/M119*Q119-R119,(M119-P119)/M119*Q119-R119)))</x:f>
      </x:c>
      <x:c r="W119" s="197" t="str">
        <x:f>IF(OR(V119="",S119="",S119=0),"",V119/S119)</x:f>
      </x:c>
      <x:c r="X119" s="198" t="str">
        <x:f>IF(V119="","",IF(V119&gt;0,"Win",IF(V119&lt;0,"Loss","BE")))</x:f>
      </x:c>
      <x:c r="Y119" s="194"/>
      <x:c r="Z119" s="194"/>
      <x:c r="AA119" s="194"/>
      <x:c r="AB119" s="194"/>
      <x:c r="AC119" s="194"/>
      <x:c r="AD119" s="196" t="str">
        <x:f>IF(A119="","",SUM($V$4:V119))</x:f>
      </x:c>
      <x:c r="AE119" s="196" t="str">
        <x:f>IF(AD119="","",MAX(0,$AD$4:AD119))</x:f>
      </x:c>
      <x:c r="AF119" s="199" t="str">
        <x:f>IF(AD119="","",AD119-AE119)</x:f>
      </x:c>
    </x:row>
    <x:row r="120">
      <x:c r="A120" s="192"/>
      <x:c r="B120" s="193"/>
      <x:c r="C120" s="193"/>
      <x:c r="D120" s="194"/>
      <x:c r="E120" s="194"/>
      <x:c r="F120" s="194"/>
      <x:c r="G120" s="194"/>
      <x:c r="H120" s="194"/>
      <x:c r="I120" s="194"/>
      <x:c r="J120" s="194"/>
      <x:c r="K120" s="194"/>
      <x:c r="L120" s="194"/>
      <x:c r="M120" s="195"/>
      <x:c r="N120" s="195"/>
      <x:c r="O120" s="195"/>
      <x:c r="P120" s="195"/>
      <x:c r="Q120" s="195"/>
      <x:c r="R120" s="195"/>
      <x:c r="S120" s="196" t="str">
        <x:f>IF(OR(M120="",N120="",Q120="",M120=0),"",ABS((M120-N120)/M120*Q120))</x:f>
      </x:c>
      <x:c r="T120" s="196" t="str">
        <x:f>IF(OR(M120="",N120="",O120="",M120=N120),"",ABS((O120-M120)/(M120-N120)))</x:f>
      </x:c>
      <x:c r="U120" s="195"/>
      <x:c r="V120" s="196" t="str">
        <x:f>IF(U120&lt;&gt;"",U120,IF(OR(P120="",M120="",Q120="",E120=""),"",IF(E120="做多",(P120-M120)/M120*Q120-R120,(M120-P120)/M120*Q120-R120)))</x:f>
      </x:c>
      <x:c r="W120" s="197" t="str">
        <x:f>IF(OR(V120="",S120="",S120=0),"",V120/S120)</x:f>
      </x:c>
      <x:c r="X120" s="198" t="str">
        <x:f>IF(V120="","",IF(V120&gt;0,"Win",IF(V120&lt;0,"Loss","BE")))</x:f>
      </x:c>
      <x:c r="Y120" s="194"/>
      <x:c r="Z120" s="194"/>
      <x:c r="AA120" s="194"/>
      <x:c r="AB120" s="194"/>
      <x:c r="AC120" s="194"/>
      <x:c r="AD120" s="196" t="str">
        <x:f>IF(A120="","",SUM($V$4:V120))</x:f>
      </x:c>
      <x:c r="AE120" s="196" t="str">
        <x:f>IF(AD120="","",MAX(0,$AD$4:AD120))</x:f>
      </x:c>
      <x:c r="AF120" s="199" t="str">
        <x:f>IF(AD120="","",AD120-AE120)</x:f>
      </x:c>
    </x:row>
    <x:row r="121">
      <x:c r="A121" s="192"/>
      <x:c r="B121" s="193"/>
      <x:c r="C121" s="193"/>
      <x:c r="D121" s="194"/>
      <x:c r="E121" s="194"/>
      <x:c r="F121" s="194"/>
      <x:c r="G121" s="194"/>
      <x:c r="H121" s="194"/>
      <x:c r="I121" s="194"/>
      <x:c r="J121" s="194"/>
      <x:c r="K121" s="194"/>
      <x:c r="L121" s="194"/>
      <x:c r="M121" s="195"/>
      <x:c r="N121" s="195"/>
      <x:c r="O121" s="195"/>
      <x:c r="P121" s="195"/>
      <x:c r="Q121" s="195"/>
      <x:c r="R121" s="195"/>
      <x:c r="S121" s="196" t="str">
        <x:f>IF(OR(M121="",N121="",Q121="",M121=0),"",ABS((M121-N121)/M121*Q121))</x:f>
      </x:c>
      <x:c r="T121" s="196" t="str">
        <x:f>IF(OR(M121="",N121="",O121="",M121=N121),"",ABS((O121-M121)/(M121-N121)))</x:f>
      </x:c>
      <x:c r="U121" s="195"/>
      <x:c r="V121" s="196" t="str">
        <x:f>IF(U121&lt;&gt;"",U121,IF(OR(P121="",M121="",Q121="",E121=""),"",IF(E121="做多",(P121-M121)/M121*Q121-R121,(M121-P121)/M121*Q121-R121)))</x:f>
      </x:c>
      <x:c r="W121" s="197" t="str">
        <x:f>IF(OR(V121="",S121="",S121=0),"",V121/S121)</x:f>
      </x:c>
      <x:c r="X121" s="198" t="str">
        <x:f>IF(V121="","",IF(V121&gt;0,"Win",IF(V121&lt;0,"Loss","BE")))</x:f>
      </x:c>
      <x:c r="Y121" s="194"/>
      <x:c r="Z121" s="194"/>
      <x:c r="AA121" s="194"/>
      <x:c r="AB121" s="194"/>
      <x:c r="AC121" s="194"/>
      <x:c r="AD121" s="196" t="str">
        <x:f>IF(A121="","",SUM($V$4:V121))</x:f>
      </x:c>
      <x:c r="AE121" s="196" t="str">
        <x:f>IF(AD121="","",MAX(0,$AD$4:AD121))</x:f>
      </x:c>
      <x:c r="AF121" s="199" t="str">
        <x:f>IF(AD121="","",AD121-AE121)</x:f>
      </x:c>
    </x:row>
    <x:row r="122">
      <x:c r="A122" s="192"/>
      <x:c r="B122" s="193"/>
      <x:c r="C122" s="193"/>
      <x:c r="D122" s="194"/>
      <x:c r="E122" s="194"/>
      <x:c r="F122" s="194"/>
      <x:c r="G122" s="194"/>
      <x:c r="H122" s="194"/>
      <x:c r="I122" s="194"/>
      <x:c r="J122" s="194"/>
      <x:c r="K122" s="194"/>
      <x:c r="L122" s="194"/>
      <x:c r="M122" s="195"/>
      <x:c r="N122" s="195"/>
      <x:c r="O122" s="195"/>
      <x:c r="P122" s="195"/>
      <x:c r="Q122" s="195"/>
      <x:c r="R122" s="195"/>
      <x:c r="S122" s="196" t="str">
        <x:f>IF(OR(M122="",N122="",Q122="",M122=0),"",ABS((M122-N122)/M122*Q122))</x:f>
      </x:c>
      <x:c r="T122" s="196" t="str">
        <x:f>IF(OR(M122="",N122="",O122="",M122=N122),"",ABS((O122-M122)/(M122-N122)))</x:f>
      </x:c>
      <x:c r="U122" s="195"/>
      <x:c r="V122" s="196" t="str">
        <x:f>IF(U122&lt;&gt;"",U122,IF(OR(P122="",M122="",Q122="",E122=""),"",IF(E122="做多",(P122-M122)/M122*Q122-R122,(M122-P122)/M122*Q122-R122)))</x:f>
      </x:c>
      <x:c r="W122" s="197" t="str">
        <x:f>IF(OR(V122="",S122="",S122=0),"",V122/S122)</x:f>
      </x:c>
      <x:c r="X122" s="198" t="str">
        <x:f>IF(V122="","",IF(V122&gt;0,"Win",IF(V122&lt;0,"Loss","BE")))</x:f>
      </x:c>
      <x:c r="Y122" s="194"/>
      <x:c r="Z122" s="194"/>
      <x:c r="AA122" s="194"/>
      <x:c r="AB122" s="194"/>
      <x:c r="AC122" s="194"/>
      <x:c r="AD122" s="196" t="str">
        <x:f>IF(A122="","",SUM($V$4:V122))</x:f>
      </x:c>
      <x:c r="AE122" s="196" t="str">
        <x:f>IF(AD122="","",MAX(0,$AD$4:AD122))</x:f>
      </x:c>
      <x:c r="AF122" s="199" t="str">
        <x:f>IF(AD122="","",AD122-AE122)</x:f>
      </x:c>
    </x:row>
    <x:row r="123">
      <x:c r="A123" s="192"/>
      <x:c r="B123" s="193"/>
      <x:c r="C123" s="193"/>
      <x:c r="D123" s="194"/>
      <x:c r="E123" s="194"/>
      <x:c r="F123" s="194"/>
      <x:c r="G123" s="194"/>
      <x:c r="H123" s="194"/>
      <x:c r="I123" s="194"/>
      <x:c r="J123" s="194"/>
      <x:c r="K123" s="194"/>
      <x:c r="L123" s="194"/>
      <x:c r="M123" s="195"/>
      <x:c r="N123" s="195"/>
      <x:c r="O123" s="195"/>
      <x:c r="P123" s="195"/>
      <x:c r="Q123" s="195"/>
      <x:c r="R123" s="195"/>
      <x:c r="S123" s="196" t="str">
        <x:f>IF(OR(M123="",N123="",Q123="",M123=0),"",ABS((M123-N123)/M123*Q123))</x:f>
      </x:c>
      <x:c r="T123" s="196" t="str">
        <x:f>IF(OR(M123="",N123="",O123="",M123=N123),"",ABS((O123-M123)/(M123-N123)))</x:f>
      </x:c>
      <x:c r="U123" s="195"/>
      <x:c r="V123" s="196" t="str">
        <x:f>IF(U123&lt;&gt;"",U123,IF(OR(P123="",M123="",Q123="",E123=""),"",IF(E123="做多",(P123-M123)/M123*Q123-R123,(M123-P123)/M123*Q123-R123)))</x:f>
      </x:c>
      <x:c r="W123" s="197" t="str">
        <x:f>IF(OR(V123="",S123="",S123=0),"",V123/S123)</x:f>
      </x:c>
      <x:c r="X123" s="198" t="str">
        <x:f>IF(V123="","",IF(V123&gt;0,"Win",IF(V123&lt;0,"Loss","BE")))</x:f>
      </x:c>
      <x:c r="Y123" s="194"/>
      <x:c r="Z123" s="194"/>
      <x:c r="AA123" s="194"/>
      <x:c r="AB123" s="194"/>
      <x:c r="AC123" s="194"/>
      <x:c r="AD123" s="196" t="str">
        <x:f>IF(A123="","",SUM($V$4:V123))</x:f>
      </x:c>
      <x:c r="AE123" s="196" t="str">
        <x:f>IF(AD123="","",MAX(0,$AD$4:AD123))</x:f>
      </x:c>
      <x:c r="AF123" s="199" t="str">
        <x:f>IF(AD123="","",AD123-AE123)</x:f>
      </x:c>
    </x:row>
    <x:row r="124">
      <x:c r="A124" s="192"/>
      <x:c r="B124" s="193"/>
      <x:c r="C124" s="193"/>
      <x:c r="D124" s="194"/>
      <x:c r="E124" s="194"/>
      <x:c r="F124" s="194"/>
      <x:c r="G124" s="194"/>
      <x:c r="H124" s="194"/>
      <x:c r="I124" s="194"/>
      <x:c r="J124" s="194"/>
      <x:c r="K124" s="194"/>
      <x:c r="L124" s="194"/>
      <x:c r="M124" s="195"/>
      <x:c r="N124" s="195"/>
      <x:c r="O124" s="195"/>
      <x:c r="P124" s="195"/>
      <x:c r="Q124" s="195"/>
      <x:c r="R124" s="195"/>
      <x:c r="S124" s="196" t="str">
        <x:f>IF(OR(M124="",N124="",Q124="",M124=0),"",ABS((M124-N124)/M124*Q124))</x:f>
      </x:c>
      <x:c r="T124" s="196" t="str">
        <x:f>IF(OR(M124="",N124="",O124="",M124=N124),"",ABS((O124-M124)/(M124-N124)))</x:f>
      </x:c>
      <x:c r="U124" s="195"/>
      <x:c r="V124" s="196" t="str">
        <x:f>IF(U124&lt;&gt;"",U124,IF(OR(P124="",M124="",Q124="",E124=""),"",IF(E124="做多",(P124-M124)/M124*Q124-R124,(M124-P124)/M124*Q124-R124)))</x:f>
      </x:c>
      <x:c r="W124" s="197" t="str">
        <x:f>IF(OR(V124="",S124="",S124=0),"",V124/S124)</x:f>
      </x:c>
      <x:c r="X124" s="198" t="str">
        <x:f>IF(V124="","",IF(V124&gt;0,"Win",IF(V124&lt;0,"Loss","BE")))</x:f>
      </x:c>
      <x:c r="Y124" s="194"/>
      <x:c r="Z124" s="194"/>
      <x:c r="AA124" s="194"/>
      <x:c r="AB124" s="194"/>
      <x:c r="AC124" s="194"/>
      <x:c r="AD124" s="196" t="str">
        <x:f>IF(A124="","",SUM($V$4:V124))</x:f>
      </x:c>
      <x:c r="AE124" s="196" t="str">
        <x:f>IF(AD124="","",MAX(0,$AD$4:AD124))</x:f>
      </x:c>
      <x:c r="AF124" s="199" t="str">
        <x:f>IF(AD124="","",AD124-AE124)</x:f>
      </x:c>
    </x:row>
    <x:row r="125">
      <x:c r="A125" s="192"/>
      <x:c r="B125" s="193"/>
      <x:c r="C125" s="193"/>
      <x:c r="D125" s="194"/>
      <x:c r="E125" s="194"/>
      <x:c r="F125" s="194"/>
      <x:c r="G125" s="194"/>
      <x:c r="H125" s="194"/>
      <x:c r="I125" s="194"/>
      <x:c r="J125" s="194"/>
      <x:c r="K125" s="194"/>
      <x:c r="L125" s="194"/>
      <x:c r="M125" s="195"/>
      <x:c r="N125" s="195"/>
      <x:c r="O125" s="195"/>
      <x:c r="P125" s="195"/>
      <x:c r="Q125" s="195"/>
      <x:c r="R125" s="195"/>
      <x:c r="S125" s="196" t="str">
        <x:f>IF(OR(M125="",N125="",Q125="",M125=0),"",ABS((M125-N125)/M125*Q125))</x:f>
      </x:c>
      <x:c r="T125" s="196" t="str">
        <x:f>IF(OR(M125="",N125="",O125="",M125=N125),"",ABS((O125-M125)/(M125-N125)))</x:f>
      </x:c>
      <x:c r="U125" s="195"/>
      <x:c r="V125" s="196" t="str">
        <x:f>IF(U125&lt;&gt;"",U125,IF(OR(P125="",M125="",Q125="",E125=""),"",IF(E125="做多",(P125-M125)/M125*Q125-R125,(M125-P125)/M125*Q125-R125)))</x:f>
      </x:c>
      <x:c r="W125" s="197" t="str">
        <x:f>IF(OR(V125="",S125="",S125=0),"",V125/S125)</x:f>
      </x:c>
      <x:c r="X125" s="198" t="str">
        <x:f>IF(V125="","",IF(V125&gt;0,"Win",IF(V125&lt;0,"Loss","BE")))</x:f>
      </x:c>
      <x:c r="Y125" s="194"/>
      <x:c r="Z125" s="194"/>
      <x:c r="AA125" s="194"/>
      <x:c r="AB125" s="194"/>
      <x:c r="AC125" s="194"/>
      <x:c r="AD125" s="196" t="str">
        <x:f>IF(A125="","",SUM($V$4:V125))</x:f>
      </x:c>
      <x:c r="AE125" s="196" t="str">
        <x:f>IF(AD125="","",MAX(0,$AD$4:AD125))</x:f>
      </x:c>
      <x:c r="AF125" s="199" t="str">
        <x:f>IF(AD125="","",AD125-AE125)</x:f>
      </x:c>
    </x:row>
    <x:row r="126">
      <x:c r="A126" s="192"/>
      <x:c r="B126" s="193"/>
      <x:c r="C126" s="193"/>
      <x:c r="D126" s="194"/>
      <x:c r="E126" s="194"/>
      <x:c r="F126" s="194"/>
      <x:c r="G126" s="194"/>
      <x:c r="H126" s="194"/>
      <x:c r="I126" s="194"/>
      <x:c r="J126" s="194"/>
      <x:c r="K126" s="194"/>
      <x:c r="L126" s="194"/>
      <x:c r="M126" s="195"/>
      <x:c r="N126" s="195"/>
      <x:c r="O126" s="195"/>
      <x:c r="P126" s="195"/>
      <x:c r="Q126" s="195"/>
      <x:c r="R126" s="195"/>
      <x:c r="S126" s="196" t="str">
        <x:f>IF(OR(M126="",N126="",Q126="",M126=0),"",ABS((M126-N126)/M126*Q126))</x:f>
      </x:c>
      <x:c r="T126" s="196" t="str">
        <x:f>IF(OR(M126="",N126="",O126="",M126=N126),"",ABS((O126-M126)/(M126-N126)))</x:f>
      </x:c>
      <x:c r="U126" s="195"/>
      <x:c r="V126" s="196" t="str">
        <x:f>IF(U126&lt;&gt;"",U126,IF(OR(P126="",M126="",Q126="",E126=""),"",IF(E126="做多",(P126-M126)/M126*Q126-R126,(M126-P126)/M126*Q126-R126)))</x:f>
      </x:c>
      <x:c r="W126" s="197" t="str">
        <x:f>IF(OR(V126="",S126="",S126=0),"",V126/S126)</x:f>
      </x:c>
      <x:c r="X126" s="198" t="str">
        <x:f>IF(V126="","",IF(V126&gt;0,"Win",IF(V126&lt;0,"Loss","BE")))</x:f>
      </x:c>
      <x:c r="Y126" s="194"/>
      <x:c r="Z126" s="194"/>
      <x:c r="AA126" s="194"/>
      <x:c r="AB126" s="194"/>
      <x:c r="AC126" s="194"/>
      <x:c r="AD126" s="196" t="str">
        <x:f>IF(A126="","",SUM($V$4:V126))</x:f>
      </x:c>
      <x:c r="AE126" s="196" t="str">
        <x:f>IF(AD126="","",MAX(0,$AD$4:AD126))</x:f>
      </x:c>
      <x:c r="AF126" s="199" t="str">
        <x:f>IF(AD126="","",AD126-AE126)</x:f>
      </x:c>
    </x:row>
    <x:row r="127">
      <x:c r="A127" s="192"/>
      <x:c r="B127" s="193"/>
      <x:c r="C127" s="193"/>
      <x:c r="D127" s="194"/>
      <x:c r="E127" s="194"/>
      <x:c r="F127" s="194"/>
      <x:c r="G127" s="194"/>
      <x:c r="H127" s="194"/>
      <x:c r="I127" s="194"/>
      <x:c r="J127" s="194"/>
      <x:c r="K127" s="194"/>
      <x:c r="L127" s="194"/>
      <x:c r="M127" s="195"/>
      <x:c r="N127" s="195"/>
      <x:c r="O127" s="195"/>
      <x:c r="P127" s="195"/>
      <x:c r="Q127" s="195"/>
      <x:c r="R127" s="195"/>
      <x:c r="S127" s="196" t="str">
        <x:f>IF(OR(M127="",N127="",Q127="",M127=0),"",ABS((M127-N127)/M127*Q127))</x:f>
      </x:c>
      <x:c r="T127" s="196" t="str">
        <x:f>IF(OR(M127="",N127="",O127="",M127=N127),"",ABS((O127-M127)/(M127-N127)))</x:f>
      </x:c>
      <x:c r="U127" s="195"/>
      <x:c r="V127" s="196" t="str">
        <x:f>IF(U127&lt;&gt;"",U127,IF(OR(P127="",M127="",Q127="",E127=""),"",IF(E127="做多",(P127-M127)/M127*Q127-R127,(M127-P127)/M127*Q127-R127)))</x:f>
      </x:c>
      <x:c r="W127" s="197" t="str">
        <x:f>IF(OR(V127="",S127="",S127=0),"",V127/S127)</x:f>
      </x:c>
      <x:c r="X127" s="198" t="str">
        <x:f>IF(V127="","",IF(V127&gt;0,"Win",IF(V127&lt;0,"Loss","BE")))</x:f>
      </x:c>
      <x:c r="Y127" s="194"/>
      <x:c r="Z127" s="194"/>
      <x:c r="AA127" s="194"/>
      <x:c r="AB127" s="194"/>
      <x:c r="AC127" s="194"/>
      <x:c r="AD127" s="196" t="str">
        <x:f>IF(A127="","",SUM($V$4:V127))</x:f>
      </x:c>
      <x:c r="AE127" s="196" t="str">
        <x:f>IF(AD127="","",MAX(0,$AD$4:AD127))</x:f>
      </x:c>
      <x:c r="AF127" s="199" t="str">
        <x:f>IF(AD127="","",AD127-AE127)</x:f>
      </x:c>
    </x:row>
    <x:row r="128">
      <x:c r="A128" s="192"/>
      <x:c r="B128" s="193"/>
      <x:c r="C128" s="193"/>
      <x:c r="D128" s="194"/>
      <x:c r="E128" s="194"/>
      <x:c r="F128" s="194"/>
      <x:c r="G128" s="194"/>
      <x:c r="H128" s="194"/>
      <x:c r="I128" s="194"/>
      <x:c r="J128" s="194"/>
      <x:c r="K128" s="194"/>
      <x:c r="L128" s="194"/>
      <x:c r="M128" s="195"/>
      <x:c r="N128" s="195"/>
      <x:c r="O128" s="195"/>
      <x:c r="P128" s="195"/>
      <x:c r="Q128" s="195"/>
      <x:c r="R128" s="195"/>
      <x:c r="S128" s="196" t="str">
        <x:f>IF(OR(M128="",N128="",Q128="",M128=0),"",ABS((M128-N128)/M128*Q128))</x:f>
      </x:c>
      <x:c r="T128" s="196" t="str">
        <x:f>IF(OR(M128="",N128="",O128="",M128=N128),"",ABS((O128-M128)/(M128-N128)))</x:f>
      </x:c>
      <x:c r="U128" s="195"/>
      <x:c r="V128" s="196" t="str">
        <x:f>IF(U128&lt;&gt;"",U128,IF(OR(P128="",M128="",Q128="",E128=""),"",IF(E128="做多",(P128-M128)/M128*Q128-R128,(M128-P128)/M128*Q128-R128)))</x:f>
      </x:c>
      <x:c r="W128" s="197" t="str">
        <x:f>IF(OR(V128="",S128="",S128=0),"",V128/S128)</x:f>
      </x:c>
      <x:c r="X128" s="198" t="str">
        <x:f>IF(V128="","",IF(V128&gt;0,"Win",IF(V128&lt;0,"Loss","BE")))</x:f>
      </x:c>
      <x:c r="Y128" s="194"/>
      <x:c r="Z128" s="194"/>
      <x:c r="AA128" s="194"/>
      <x:c r="AB128" s="194"/>
      <x:c r="AC128" s="194"/>
      <x:c r="AD128" s="196" t="str">
        <x:f>IF(A128="","",SUM($V$4:V128))</x:f>
      </x:c>
      <x:c r="AE128" s="196" t="str">
        <x:f>IF(AD128="","",MAX(0,$AD$4:AD128))</x:f>
      </x:c>
      <x:c r="AF128" s="199" t="str">
        <x:f>IF(AD128="","",AD128-AE128)</x:f>
      </x:c>
    </x:row>
    <x:row r="129">
      <x:c r="A129" s="192"/>
      <x:c r="B129" s="193"/>
      <x:c r="C129" s="193"/>
      <x:c r="D129" s="194"/>
      <x:c r="E129" s="194"/>
      <x:c r="F129" s="194"/>
      <x:c r="G129" s="194"/>
      <x:c r="H129" s="194"/>
      <x:c r="I129" s="194"/>
      <x:c r="J129" s="194"/>
      <x:c r="K129" s="194"/>
      <x:c r="L129" s="194"/>
      <x:c r="M129" s="195"/>
      <x:c r="N129" s="195"/>
      <x:c r="O129" s="195"/>
      <x:c r="P129" s="195"/>
      <x:c r="Q129" s="195"/>
      <x:c r="R129" s="195"/>
      <x:c r="S129" s="196" t="str">
        <x:f>IF(OR(M129="",N129="",Q129="",M129=0),"",ABS((M129-N129)/M129*Q129))</x:f>
      </x:c>
      <x:c r="T129" s="196" t="str">
        <x:f>IF(OR(M129="",N129="",O129="",M129=N129),"",ABS((O129-M129)/(M129-N129)))</x:f>
      </x:c>
      <x:c r="U129" s="195"/>
      <x:c r="V129" s="196" t="str">
        <x:f>IF(U129&lt;&gt;"",U129,IF(OR(P129="",M129="",Q129="",E129=""),"",IF(E129="做多",(P129-M129)/M129*Q129-R129,(M129-P129)/M129*Q129-R129)))</x:f>
      </x:c>
      <x:c r="W129" s="197" t="str">
        <x:f>IF(OR(V129="",S129="",S129=0),"",V129/S129)</x:f>
      </x:c>
      <x:c r="X129" s="198" t="str">
        <x:f>IF(V129="","",IF(V129&gt;0,"Win",IF(V129&lt;0,"Loss","BE")))</x:f>
      </x:c>
      <x:c r="Y129" s="194"/>
      <x:c r="Z129" s="194"/>
      <x:c r="AA129" s="194"/>
      <x:c r="AB129" s="194"/>
      <x:c r="AC129" s="194"/>
      <x:c r="AD129" s="196" t="str">
        <x:f>IF(A129="","",SUM($V$4:V129))</x:f>
      </x:c>
      <x:c r="AE129" s="196" t="str">
        <x:f>IF(AD129="","",MAX(0,$AD$4:AD129))</x:f>
      </x:c>
      <x:c r="AF129" s="199" t="str">
        <x:f>IF(AD129="","",AD129-AE129)</x:f>
      </x:c>
    </x:row>
    <x:row r="130">
      <x:c r="A130" s="192"/>
      <x:c r="B130" s="193"/>
      <x:c r="C130" s="193"/>
      <x:c r="D130" s="194"/>
      <x:c r="E130" s="194"/>
      <x:c r="F130" s="194"/>
      <x:c r="G130" s="194"/>
      <x:c r="H130" s="194"/>
      <x:c r="I130" s="194"/>
      <x:c r="J130" s="194"/>
      <x:c r="K130" s="194"/>
      <x:c r="L130" s="194"/>
      <x:c r="M130" s="195"/>
      <x:c r="N130" s="195"/>
      <x:c r="O130" s="195"/>
      <x:c r="P130" s="195"/>
      <x:c r="Q130" s="195"/>
      <x:c r="R130" s="195"/>
      <x:c r="S130" s="196" t="str">
        <x:f>IF(OR(M130="",N130="",Q130="",M130=0),"",ABS((M130-N130)/M130*Q130))</x:f>
      </x:c>
      <x:c r="T130" s="196" t="str">
        <x:f>IF(OR(M130="",N130="",O130="",M130=N130),"",ABS((O130-M130)/(M130-N130)))</x:f>
      </x:c>
      <x:c r="U130" s="195"/>
      <x:c r="V130" s="196" t="str">
        <x:f>IF(U130&lt;&gt;"",U130,IF(OR(P130="",M130="",Q130="",E130=""),"",IF(E130="做多",(P130-M130)/M130*Q130-R130,(M130-P130)/M130*Q130-R130)))</x:f>
      </x:c>
      <x:c r="W130" s="197" t="str">
        <x:f>IF(OR(V130="",S130="",S130=0),"",V130/S130)</x:f>
      </x:c>
      <x:c r="X130" s="198" t="str">
        <x:f>IF(V130="","",IF(V130&gt;0,"Win",IF(V130&lt;0,"Loss","BE")))</x:f>
      </x:c>
      <x:c r="Y130" s="194"/>
      <x:c r="Z130" s="194"/>
      <x:c r="AA130" s="194"/>
      <x:c r="AB130" s="194"/>
      <x:c r="AC130" s="194"/>
      <x:c r="AD130" s="196" t="str">
        <x:f>IF(A130="","",SUM($V$4:V130))</x:f>
      </x:c>
      <x:c r="AE130" s="196" t="str">
        <x:f>IF(AD130="","",MAX(0,$AD$4:AD130))</x:f>
      </x:c>
      <x:c r="AF130" s="199" t="str">
        <x:f>IF(AD130="","",AD130-AE130)</x:f>
      </x:c>
    </x:row>
    <x:row r="131">
      <x:c r="A131" s="192"/>
      <x:c r="B131" s="193"/>
      <x:c r="C131" s="193"/>
      <x:c r="D131" s="194"/>
      <x:c r="E131" s="194"/>
      <x:c r="F131" s="194"/>
      <x:c r="G131" s="194"/>
      <x:c r="H131" s="194"/>
      <x:c r="I131" s="194"/>
      <x:c r="J131" s="194"/>
      <x:c r="K131" s="194"/>
      <x:c r="L131" s="194"/>
      <x:c r="M131" s="195"/>
      <x:c r="N131" s="195"/>
      <x:c r="O131" s="195"/>
      <x:c r="P131" s="195"/>
      <x:c r="Q131" s="195"/>
      <x:c r="R131" s="195"/>
      <x:c r="S131" s="196" t="str">
        <x:f>IF(OR(M131="",N131="",Q131="",M131=0),"",ABS((M131-N131)/M131*Q131))</x:f>
      </x:c>
      <x:c r="T131" s="196" t="str">
        <x:f>IF(OR(M131="",N131="",O131="",M131=N131),"",ABS((O131-M131)/(M131-N131)))</x:f>
      </x:c>
      <x:c r="U131" s="195"/>
      <x:c r="V131" s="196" t="str">
        <x:f>IF(U131&lt;&gt;"",U131,IF(OR(P131="",M131="",Q131="",E131=""),"",IF(E131="做多",(P131-M131)/M131*Q131-R131,(M131-P131)/M131*Q131-R131)))</x:f>
      </x:c>
      <x:c r="W131" s="197" t="str">
        <x:f>IF(OR(V131="",S131="",S131=0),"",V131/S131)</x:f>
      </x:c>
      <x:c r="X131" s="198" t="str">
        <x:f>IF(V131="","",IF(V131&gt;0,"Win",IF(V131&lt;0,"Loss","BE")))</x:f>
      </x:c>
      <x:c r="Y131" s="194"/>
      <x:c r="Z131" s="194"/>
      <x:c r="AA131" s="194"/>
      <x:c r="AB131" s="194"/>
      <x:c r="AC131" s="194"/>
      <x:c r="AD131" s="196" t="str">
        <x:f>IF(A131="","",SUM($V$4:V131))</x:f>
      </x:c>
      <x:c r="AE131" s="196" t="str">
        <x:f>IF(AD131="","",MAX(0,$AD$4:AD131))</x:f>
      </x:c>
      <x:c r="AF131" s="199" t="str">
        <x:f>IF(AD131="","",AD131-AE131)</x:f>
      </x:c>
    </x:row>
    <x:row r="132">
      <x:c r="A132" s="192"/>
      <x:c r="B132" s="193"/>
      <x:c r="C132" s="193"/>
      <x:c r="D132" s="194"/>
      <x:c r="E132" s="194"/>
      <x:c r="F132" s="194"/>
      <x:c r="G132" s="194"/>
      <x:c r="H132" s="194"/>
      <x:c r="I132" s="194"/>
      <x:c r="J132" s="194"/>
      <x:c r="K132" s="194"/>
      <x:c r="L132" s="194"/>
      <x:c r="M132" s="195"/>
      <x:c r="N132" s="195"/>
      <x:c r="O132" s="195"/>
      <x:c r="P132" s="195"/>
      <x:c r="Q132" s="195"/>
      <x:c r="R132" s="195"/>
      <x:c r="S132" s="196" t="str">
        <x:f>IF(OR(M132="",N132="",Q132="",M132=0),"",ABS((M132-N132)/M132*Q132))</x:f>
      </x:c>
      <x:c r="T132" s="196" t="str">
        <x:f>IF(OR(M132="",N132="",O132="",M132=N132),"",ABS((O132-M132)/(M132-N132)))</x:f>
      </x:c>
      <x:c r="U132" s="195"/>
      <x:c r="V132" s="196" t="str">
        <x:f>IF(U132&lt;&gt;"",U132,IF(OR(P132="",M132="",Q132="",E132=""),"",IF(E132="做多",(P132-M132)/M132*Q132-R132,(M132-P132)/M132*Q132-R132)))</x:f>
      </x:c>
      <x:c r="W132" s="197" t="str">
        <x:f>IF(OR(V132="",S132="",S132=0),"",V132/S132)</x:f>
      </x:c>
      <x:c r="X132" s="198" t="str">
        <x:f>IF(V132="","",IF(V132&gt;0,"Win",IF(V132&lt;0,"Loss","BE")))</x:f>
      </x:c>
      <x:c r="Y132" s="194"/>
      <x:c r="Z132" s="194"/>
      <x:c r="AA132" s="194"/>
      <x:c r="AB132" s="194"/>
      <x:c r="AC132" s="194"/>
      <x:c r="AD132" s="196" t="str">
        <x:f>IF(A132="","",SUM($V$4:V132))</x:f>
      </x:c>
      <x:c r="AE132" s="196" t="str">
        <x:f>IF(AD132="","",MAX(0,$AD$4:AD132))</x:f>
      </x:c>
      <x:c r="AF132" s="199" t="str">
        <x:f>IF(AD132="","",AD132-AE132)</x:f>
      </x:c>
    </x:row>
    <x:row r="133">
      <x:c r="A133" s="192"/>
      <x:c r="B133" s="193"/>
      <x:c r="C133" s="193"/>
      <x:c r="D133" s="194"/>
      <x:c r="E133" s="194"/>
      <x:c r="F133" s="194"/>
      <x:c r="G133" s="194"/>
      <x:c r="H133" s="194"/>
      <x:c r="I133" s="194"/>
      <x:c r="J133" s="194"/>
      <x:c r="K133" s="194"/>
      <x:c r="L133" s="194"/>
      <x:c r="M133" s="195"/>
      <x:c r="N133" s="195"/>
      <x:c r="O133" s="195"/>
      <x:c r="P133" s="195"/>
      <x:c r="Q133" s="195"/>
      <x:c r="R133" s="195"/>
      <x:c r="S133" s="196" t="str">
        <x:f>IF(OR(M133="",N133="",Q133="",M133=0),"",ABS((M133-N133)/M133*Q133))</x:f>
      </x:c>
      <x:c r="T133" s="196" t="str">
        <x:f>IF(OR(M133="",N133="",O133="",M133=N133),"",ABS((O133-M133)/(M133-N133)))</x:f>
      </x:c>
      <x:c r="U133" s="195"/>
      <x:c r="V133" s="196" t="str">
        <x:f>IF(U133&lt;&gt;"",U133,IF(OR(P133="",M133="",Q133="",E133=""),"",IF(E133="做多",(P133-M133)/M133*Q133-R133,(M133-P133)/M133*Q133-R133)))</x:f>
      </x:c>
      <x:c r="W133" s="197" t="str">
        <x:f>IF(OR(V133="",S133="",S133=0),"",V133/S133)</x:f>
      </x:c>
      <x:c r="X133" s="198" t="str">
        <x:f>IF(V133="","",IF(V133&gt;0,"Win",IF(V133&lt;0,"Loss","BE")))</x:f>
      </x:c>
      <x:c r="Y133" s="194"/>
      <x:c r="Z133" s="194"/>
      <x:c r="AA133" s="194"/>
      <x:c r="AB133" s="194"/>
      <x:c r="AC133" s="194"/>
      <x:c r="AD133" s="196" t="str">
        <x:f>IF(A133="","",SUM($V$4:V133))</x:f>
      </x:c>
      <x:c r="AE133" s="196" t="str">
        <x:f>IF(AD133="","",MAX(0,$AD$4:AD133))</x:f>
      </x:c>
      <x:c r="AF133" s="199" t="str">
        <x:f>IF(AD133="","",AD133-AE133)</x:f>
      </x:c>
    </x:row>
    <x:row r="134">
      <x:c r="A134" s="192"/>
      <x:c r="B134" s="193"/>
      <x:c r="C134" s="193"/>
      <x:c r="D134" s="194"/>
      <x:c r="E134" s="194"/>
      <x:c r="F134" s="194"/>
      <x:c r="G134" s="194"/>
      <x:c r="H134" s="194"/>
      <x:c r="I134" s="194"/>
      <x:c r="J134" s="194"/>
      <x:c r="K134" s="194"/>
      <x:c r="L134" s="194"/>
      <x:c r="M134" s="195"/>
      <x:c r="N134" s="195"/>
      <x:c r="O134" s="195"/>
      <x:c r="P134" s="195"/>
      <x:c r="Q134" s="195"/>
      <x:c r="R134" s="195"/>
      <x:c r="S134" s="196" t="str">
        <x:f>IF(OR(M134="",N134="",Q134="",M134=0),"",ABS((M134-N134)/M134*Q134))</x:f>
      </x:c>
      <x:c r="T134" s="196" t="str">
        <x:f>IF(OR(M134="",N134="",O134="",M134=N134),"",ABS((O134-M134)/(M134-N134)))</x:f>
      </x:c>
      <x:c r="U134" s="195"/>
      <x:c r="V134" s="196" t="str">
        <x:f>IF(U134&lt;&gt;"",U134,IF(OR(P134="",M134="",Q134="",E134=""),"",IF(E134="做多",(P134-M134)/M134*Q134-R134,(M134-P134)/M134*Q134-R134)))</x:f>
      </x:c>
      <x:c r="W134" s="197" t="str">
        <x:f>IF(OR(V134="",S134="",S134=0),"",V134/S134)</x:f>
      </x:c>
      <x:c r="X134" s="198" t="str">
        <x:f>IF(V134="","",IF(V134&gt;0,"Win",IF(V134&lt;0,"Loss","BE")))</x:f>
      </x:c>
      <x:c r="Y134" s="194"/>
      <x:c r="Z134" s="194"/>
      <x:c r="AA134" s="194"/>
      <x:c r="AB134" s="194"/>
      <x:c r="AC134" s="194"/>
      <x:c r="AD134" s="196" t="str">
        <x:f>IF(A134="","",SUM($V$4:V134))</x:f>
      </x:c>
      <x:c r="AE134" s="196" t="str">
        <x:f>IF(AD134="","",MAX(0,$AD$4:AD134))</x:f>
      </x:c>
      <x:c r="AF134" s="199" t="str">
        <x:f>IF(AD134="","",AD134-AE134)</x:f>
      </x:c>
    </x:row>
    <x:row r="135">
      <x:c r="A135" s="192"/>
      <x:c r="B135" s="193"/>
      <x:c r="C135" s="193"/>
      <x:c r="D135" s="194"/>
      <x:c r="E135" s="194"/>
      <x:c r="F135" s="194"/>
      <x:c r="G135" s="194"/>
      <x:c r="H135" s="194"/>
      <x:c r="I135" s="194"/>
      <x:c r="J135" s="194"/>
      <x:c r="K135" s="194"/>
      <x:c r="L135" s="194"/>
      <x:c r="M135" s="195"/>
      <x:c r="N135" s="195"/>
      <x:c r="O135" s="195"/>
      <x:c r="P135" s="195"/>
      <x:c r="Q135" s="195"/>
      <x:c r="R135" s="195"/>
      <x:c r="S135" s="196" t="str">
        <x:f>IF(OR(M135="",N135="",Q135="",M135=0),"",ABS((M135-N135)/M135*Q135))</x:f>
      </x:c>
      <x:c r="T135" s="196" t="str">
        <x:f>IF(OR(M135="",N135="",O135="",M135=N135),"",ABS((O135-M135)/(M135-N135)))</x:f>
      </x:c>
      <x:c r="U135" s="195"/>
      <x:c r="V135" s="196" t="str">
        <x:f>IF(U135&lt;&gt;"",U135,IF(OR(P135="",M135="",Q135="",E135=""),"",IF(E135="做多",(P135-M135)/M135*Q135-R135,(M135-P135)/M135*Q135-R135)))</x:f>
      </x:c>
      <x:c r="W135" s="197" t="str">
        <x:f>IF(OR(V135="",S135="",S135=0),"",V135/S135)</x:f>
      </x:c>
      <x:c r="X135" s="198" t="str">
        <x:f>IF(V135="","",IF(V135&gt;0,"Win",IF(V135&lt;0,"Loss","BE")))</x:f>
      </x:c>
      <x:c r="Y135" s="194"/>
      <x:c r="Z135" s="194"/>
      <x:c r="AA135" s="194"/>
      <x:c r="AB135" s="194"/>
      <x:c r="AC135" s="194"/>
      <x:c r="AD135" s="196" t="str">
        <x:f>IF(A135="","",SUM($V$4:V135))</x:f>
      </x:c>
      <x:c r="AE135" s="196" t="str">
        <x:f>IF(AD135="","",MAX(0,$AD$4:AD135))</x:f>
      </x:c>
      <x:c r="AF135" s="199" t="str">
        <x:f>IF(AD135="","",AD135-AE135)</x:f>
      </x:c>
    </x:row>
    <x:row r="136">
      <x:c r="A136" s="192"/>
      <x:c r="B136" s="193"/>
      <x:c r="C136" s="193"/>
      <x:c r="D136" s="194"/>
      <x:c r="E136" s="194"/>
      <x:c r="F136" s="194"/>
      <x:c r="G136" s="194"/>
      <x:c r="H136" s="194"/>
      <x:c r="I136" s="194"/>
      <x:c r="J136" s="194"/>
      <x:c r="K136" s="194"/>
      <x:c r="L136" s="194"/>
      <x:c r="M136" s="195"/>
      <x:c r="N136" s="195"/>
      <x:c r="O136" s="195"/>
      <x:c r="P136" s="195"/>
      <x:c r="Q136" s="195"/>
      <x:c r="R136" s="195"/>
      <x:c r="S136" s="196" t="str">
        <x:f>IF(OR(M136="",N136="",Q136="",M136=0),"",ABS((M136-N136)/M136*Q136))</x:f>
      </x:c>
      <x:c r="T136" s="196" t="str">
        <x:f>IF(OR(M136="",N136="",O136="",M136=N136),"",ABS((O136-M136)/(M136-N136)))</x:f>
      </x:c>
      <x:c r="U136" s="195"/>
      <x:c r="V136" s="196" t="str">
        <x:f>IF(U136&lt;&gt;"",U136,IF(OR(P136="",M136="",Q136="",E136=""),"",IF(E136="做多",(P136-M136)/M136*Q136-R136,(M136-P136)/M136*Q136-R136)))</x:f>
      </x:c>
      <x:c r="W136" s="197" t="str">
        <x:f>IF(OR(V136="",S136="",S136=0),"",V136/S136)</x:f>
      </x:c>
      <x:c r="X136" s="198" t="str">
        <x:f>IF(V136="","",IF(V136&gt;0,"Win",IF(V136&lt;0,"Loss","BE")))</x:f>
      </x:c>
      <x:c r="Y136" s="194"/>
      <x:c r="Z136" s="194"/>
      <x:c r="AA136" s="194"/>
      <x:c r="AB136" s="194"/>
      <x:c r="AC136" s="194"/>
      <x:c r="AD136" s="196" t="str">
        <x:f>IF(A136="","",SUM($V$4:V136))</x:f>
      </x:c>
      <x:c r="AE136" s="196" t="str">
        <x:f>IF(AD136="","",MAX(0,$AD$4:AD136))</x:f>
      </x:c>
      <x:c r="AF136" s="199" t="str">
        <x:f>IF(AD136="","",AD136-AE136)</x:f>
      </x:c>
    </x:row>
    <x:row r="137">
      <x:c r="A137" s="192"/>
      <x:c r="B137" s="193"/>
      <x:c r="C137" s="193"/>
      <x:c r="D137" s="194"/>
      <x:c r="E137" s="194"/>
      <x:c r="F137" s="194"/>
      <x:c r="G137" s="194"/>
      <x:c r="H137" s="194"/>
      <x:c r="I137" s="194"/>
      <x:c r="J137" s="194"/>
      <x:c r="K137" s="194"/>
      <x:c r="L137" s="194"/>
      <x:c r="M137" s="195"/>
      <x:c r="N137" s="195"/>
      <x:c r="O137" s="195"/>
      <x:c r="P137" s="195"/>
      <x:c r="Q137" s="195"/>
      <x:c r="R137" s="195"/>
      <x:c r="S137" s="196" t="str">
        <x:f>IF(OR(M137="",N137="",Q137="",M137=0),"",ABS((M137-N137)/M137*Q137))</x:f>
      </x:c>
      <x:c r="T137" s="196" t="str">
        <x:f>IF(OR(M137="",N137="",O137="",M137=N137),"",ABS((O137-M137)/(M137-N137)))</x:f>
      </x:c>
      <x:c r="U137" s="195"/>
      <x:c r="V137" s="196" t="str">
        <x:f>IF(U137&lt;&gt;"",U137,IF(OR(P137="",M137="",Q137="",E137=""),"",IF(E137="做多",(P137-M137)/M137*Q137-R137,(M137-P137)/M137*Q137-R137)))</x:f>
      </x:c>
      <x:c r="W137" s="197" t="str">
        <x:f>IF(OR(V137="",S137="",S137=0),"",V137/S137)</x:f>
      </x:c>
      <x:c r="X137" s="198" t="str">
        <x:f>IF(V137="","",IF(V137&gt;0,"Win",IF(V137&lt;0,"Loss","BE")))</x:f>
      </x:c>
      <x:c r="Y137" s="194"/>
      <x:c r="Z137" s="194"/>
      <x:c r="AA137" s="194"/>
      <x:c r="AB137" s="194"/>
      <x:c r="AC137" s="194"/>
      <x:c r="AD137" s="196" t="str">
        <x:f>IF(A137="","",SUM($V$4:V137))</x:f>
      </x:c>
      <x:c r="AE137" s="196" t="str">
        <x:f>IF(AD137="","",MAX(0,$AD$4:AD137))</x:f>
      </x:c>
      <x:c r="AF137" s="199" t="str">
        <x:f>IF(AD137="","",AD137-AE137)</x:f>
      </x:c>
    </x:row>
    <x:row r="138">
      <x:c r="A138" s="192"/>
      <x:c r="B138" s="193"/>
      <x:c r="C138" s="193"/>
      <x:c r="D138" s="194"/>
      <x:c r="E138" s="194"/>
      <x:c r="F138" s="194"/>
      <x:c r="G138" s="194"/>
      <x:c r="H138" s="194"/>
      <x:c r="I138" s="194"/>
      <x:c r="J138" s="194"/>
      <x:c r="K138" s="194"/>
      <x:c r="L138" s="194"/>
      <x:c r="M138" s="195"/>
      <x:c r="N138" s="195"/>
      <x:c r="O138" s="195"/>
      <x:c r="P138" s="195"/>
      <x:c r="Q138" s="195"/>
      <x:c r="R138" s="195"/>
      <x:c r="S138" s="196" t="str">
        <x:f>IF(OR(M138="",N138="",Q138="",M138=0),"",ABS((M138-N138)/M138*Q138))</x:f>
      </x:c>
      <x:c r="T138" s="196" t="str">
        <x:f>IF(OR(M138="",N138="",O138="",M138=N138),"",ABS((O138-M138)/(M138-N138)))</x:f>
      </x:c>
      <x:c r="U138" s="195"/>
      <x:c r="V138" s="196" t="str">
        <x:f>IF(U138&lt;&gt;"",U138,IF(OR(P138="",M138="",Q138="",E138=""),"",IF(E138="做多",(P138-M138)/M138*Q138-R138,(M138-P138)/M138*Q138-R138)))</x:f>
      </x:c>
      <x:c r="W138" s="197" t="str">
        <x:f>IF(OR(V138="",S138="",S138=0),"",V138/S138)</x:f>
      </x:c>
      <x:c r="X138" s="198" t="str">
        <x:f>IF(V138="","",IF(V138&gt;0,"Win",IF(V138&lt;0,"Loss","BE")))</x:f>
      </x:c>
      <x:c r="Y138" s="194"/>
      <x:c r="Z138" s="194"/>
      <x:c r="AA138" s="194"/>
      <x:c r="AB138" s="194"/>
      <x:c r="AC138" s="194"/>
      <x:c r="AD138" s="196" t="str">
        <x:f>IF(A138="","",SUM($V$4:V138))</x:f>
      </x:c>
      <x:c r="AE138" s="196" t="str">
        <x:f>IF(AD138="","",MAX(0,$AD$4:AD138))</x:f>
      </x:c>
      <x:c r="AF138" s="199" t="str">
        <x:f>IF(AD138="","",AD138-AE138)</x:f>
      </x:c>
    </x:row>
    <x:row r="139">
      <x:c r="A139" s="192"/>
      <x:c r="B139" s="193"/>
      <x:c r="C139" s="193"/>
      <x:c r="D139" s="194"/>
      <x:c r="E139" s="194"/>
      <x:c r="F139" s="194"/>
      <x:c r="G139" s="194"/>
      <x:c r="H139" s="194"/>
      <x:c r="I139" s="194"/>
      <x:c r="J139" s="194"/>
      <x:c r="K139" s="194"/>
      <x:c r="L139" s="194"/>
      <x:c r="M139" s="195"/>
      <x:c r="N139" s="195"/>
      <x:c r="O139" s="195"/>
      <x:c r="P139" s="195"/>
      <x:c r="Q139" s="195"/>
      <x:c r="R139" s="195"/>
      <x:c r="S139" s="196" t="str">
        <x:f>IF(OR(M139="",N139="",Q139="",M139=0),"",ABS((M139-N139)/M139*Q139))</x:f>
      </x:c>
      <x:c r="T139" s="196" t="str">
        <x:f>IF(OR(M139="",N139="",O139="",M139=N139),"",ABS((O139-M139)/(M139-N139)))</x:f>
      </x:c>
      <x:c r="U139" s="195"/>
      <x:c r="V139" s="196" t="str">
        <x:f>IF(U139&lt;&gt;"",U139,IF(OR(P139="",M139="",Q139="",E139=""),"",IF(E139="做多",(P139-M139)/M139*Q139-R139,(M139-P139)/M139*Q139-R139)))</x:f>
      </x:c>
      <x:c r="W139" s="197" t="str">
        <x:f>IF(OR(V139="",S139="",S139=0),"",V139/S139)</x:f>
      </x:c>
      <x:c r="X139" s="198" t="str">
        <x:f>IF(V139="","",IF(V139&gt;0,"Win",IF(V139&lt;0,"Loss","BE")))</x:f>
      </x:c>
      <x:c r="Y139" s="194"/>
      <x:c r="Z139" s="194"/>
      <x:c r="AA139" s="194"/>
      <x:c r="AB139" s="194"/>
      <x:c r="AC139" s="194"/>
      <x:c r="AD139" s="196" t="str">
        <x:f>IF(A139="","",SUM($V$4:V139))</x:f>
      </x:c>
      <x:c r="AE139" s="196" t="str">
        <x:f>IF(AD139="","",MAX(0,$AD$4:AD139))</x:f>
      </x:c>
      <x:c r="AF139" s="199" t="str">
        <x:f>IF(AD139="","",AD139-AE139)</x:f>
      </x:c>
    </x:row>
    <x:row r="140">
      <x:c r="A140" s="192"/>
      <x:c r="B140" s="193"/>
      <x:c r="C140" s="193"/>
      <x:c r="D140" s="194"/>
      <x:c r="E140" s="194"/>
      <x:c r="F140" s="194"/>
      <x:c r="G140" s="194"/>
      <x:c r="H140" s="194"/>
      <x:c r="I140" s="194"/>
      <x:c r="J140" s="194"/>
      <x:c r="K140" s="194"/>
      <x:c r="L140" s="194"/>
      <x:c r="M140" s="195"/>
      <x:c r="N140" s="195"/>
      <x:c r="O140" s="195"/>
      <x:c r="P140" s="195"/>
      <x:c r="Q140" s="195"/>
      <x:c r="R140" s="195"/>
      <x:c r="S140" s="196" t="str">
        <x:f>IF(OR(M140="",N140="",Q140="",M140=0),"",ABS((M140-N140)/M140*Q140))</x:f>
      </x:c>
      <x:c r="T140" s="196" t="str">
        <x:f>IF(OR(M140="",N140="",O140="",M140=N140),"",ABS((O140-M140)/(M140-N140)))</x:f>
      </x:c>
      <x:c r="U140" s="195"/>
      <x:c r="V140" s="196" t="str">
        <x:f>IF(U140&lt;&gt;"",U140,IF(OR(P140="",M140="",Q140="",E140=""),"",IF(E140="做多",(P140-M140)/M140*Q140-R140,(M140-P140)/M140*Q140-R140)))</x:f>
      </x:c>
      <x:c r="W140" s="197" t="str">
        <x:f>IF(OR(V140="",S140="",S140=0),"",V140/S140)</x:f>
      </x:c>
      <x:c r="X140" s="198" t="str">
        <x:f>IF(V140="","",IF(V140&gt;0,"Win",IF(V140&lt;0,"Loss","BE")))</x:f>
      </x:c>
      <x:c r="Y140" s="194"/>
      <x:c r="Z140" s="194"/>
      <x:c r="AA140" s="194"/>
      <x:c r="AB140" s="194"/>
      <x:c r="AC140" s="194"/>
      <x:c r="AD140" s="196" t="str">
        <x:f>IF(A140="","",SUM($V$4:V140))</x:f>
      </x:c>
      <x:c r="AE140" s="196" t="str">
        <x:f>IF(AD140="","",MAX(0,$AD$4:AD140))</x:f>
      </x:c>
      <x:c r="AF140" s="199" t="str">
        <x:f>IF(AD140="","",AD140-AE140)</x:f>
      </x:c>
    </x:row>
    <x:row r="141">
      <x:c r="A141" s="192"/>
      <x:c r="B141" s="193"/>
      <x:c r="C141" s="193"/>
      <x:c r="D141" s="194"/>
      <x:c r="E141" s="194"/>
      <x:c r="F141" s="194"/>
      <x:c r="G141" s="194"/>
      <x:c r="H141" s="194"/>
      <x:c r="I141" s="194"/>
      <x:c r="J141" s="194"/>
      <x:c r="K141" s="194"/>
      <x:c r="L141" s="194"/>
      <x:c r="M141" s="195"/>
      <x:c r="N141" s="195"/>
      <x:c r="O141" s="195"/>
      <x:c r="P141" s="195"/>
      <x:c r="Q141" s="195"/>
      <x:c r="R141" s="195"/>
      <x:c r="S141" s="196" t="str">
        <x:f>IF(OR(M141="",N141="",Q141="",M141=0),"",ABS((M141-N141)/M141*Q141))</x:f>
      </x:c>
      <x:c r="T141" s="196" t="str">
        <x:f>IF(OR(M141="",N141="",O141="",M141=N141),"",ABS((O141-M141)/(M141-N141)))</x:f>
      </x:c>
      <x:c r="U141" s="195"/>
      <x:c r="V141" s="196" t="str">
        <x:f>IF(U141&lt;&gt;"",U141,IF(OR(P141="",M141="",Q141="",E141=""),"",IF(E141="做多",(P141-M141)/M141*Q141-R141,(M141-P141)/M141*Q141-R141)))</x:f>
      </x:c>
      <x:c r="W141" s="197" t="str">
        <x:f>IF(OR(V141="",S141="",S141=0),"",V141/S141)</x:f>
      </x:c>
      <x:c r="X141" s="198" t="str">
        <x:f>IF(V141="","",IF(V141&gt;0,"Win",IF(V141&lt;0,"Loss","BE")))</x:f>
      </x:c>
      <x:c r="Y141" s="194"/>
      <x:c r="Z141" s="194"/>
      <x:c r="AA141" s="194"/>
      <x:c r="AB141" s="194"/>
      <x:c r="AC141" s="194"/>
      <x:c r="AD141" s="196" t="str">
        <x:f>IF(A141="","",SUM($V$4:V141))</x:f>
      </x:c>
      <x:c r="AE141" s="196" t="str">
        <x:f>IF(AD141="","",MAX(0,$AD$4:AD141))</x:f>
      </x:c>
      <x:c r="AF141" s="199" t="str">
        <x:f>IF(AD141="","",AD141-AE141)</x:f>
      </x:c>
    </x:row>
    <x:row r="142">
      <x:c r="A142" s="192"/>
      <x:c r="B142" s="193"/>
      <x:c r="C142" s="193"/>
      <x:c r="D142" s="194"/>
      <x:c r="E142" s="194"/>
      <x:c r="F142" s="194"/>
      <x:c r="G142" s="194"/>
      <x:c r="H142" s="194"/>
      <x:c r="I142" s="194"/>
      <x:c r="J142" s="194"/>
      <x:c r="K142" s="194"/>
      <x:c r="L142" s="194"/>
      <x:c r="M142" s="195"/>
      <x:c r="N142" s="195"/>
      <x:c r="O142" s="195"/>
      <x:c r="P142" s="195"/>
      <x:c r="Q142" s="195"/>
      <x:c r="R142" s="195"/>
      <x:c r="S142" s="196" t="str">
        <x:f>IF(OR(M142="",N142="",Q142="",M142=0),"",ABS((M142-N142)/M142*Q142))</x:f>
      </x:c>
      <x:c r="T142" s="196" t="str">
        <x:f>IF(OR(M142="",N142="",O142="",M142=N142),"",ABS((O142-M142)/(M142-N142)))</x:f>
      </x:c>
      <x:c r="U142" s="195"/>
      <x:c r="V142" s="196" t="str">
        <x:f>IF(U142&lt;&gt;"",U142,IF(OR(P142="",M142="",Q142="",E142=""),"",IF(E142="做多",(P142-M142)/M142*Q142-R142,(M142-P142)/M142*Q142-R142)))</x:f>
      </x:c>
      <x:c r="W142" s="197" t="str">
        <x:f>IF(OR(V142="",S142="",S142=0),"",V142/S142)</x:f>
      </x:c>
      <x:c r="X142" s="198" t="str">
        <x:f>IF(V142="","",IF(V142&gt;0,"Win",IF(V142&lt;0,"Loss","BE")))</x:f>
      </x:c>
      <x:c r="Y142" s="194"/>
      <x:c r="Z142" s="194"/>
      <x:c r="AA142" s="194"/>
      <x:c r="AB142" s="194"/>
      <x:c r="AC142" s="194"/>
      <x:c r="AD142" s="196" t="str">
        <x:f>IF(A142="","",SUM($V$4:V142))</x:f>
      </x:c>
      <x:c r="AE142" s="196" t="str">
        <x:f>IF(AD142="","",MAX(0,$AD$4:AD142))</x:f>
      </x:c>
      <x:c r="AF142" s="199" t="str">
        <x:f>IF(AD142="","",AD142-AE142)</x:f>
      </x:c>
    </x:row>
    <x:row r="143">
      <x:c r="A143" s="192"/>
      <x:c r="B143" s="193"/>
      <x:c r="C143" s="193"/>
      <x:c r="D143" s="194"/>
      <x:c r="E143" s="194"/>
      <x:c r="F143" s="194"/>
      <x:c r="G143" s="194"/>
      <x:c r="H143" s="194"/>
      <x:c r="I143" s="194"/>
      <x:c r="J143" s="194"/>
      <x:c r="K143" s="194"/>
      <x:c r="L143" s="194"/>
      <x:c r="M143" s="195"/>
      <x:c r="N143" s="195"/>
      <x:c r="O143" s="195"/>
      <x:c r="P143" s="195"/>
      <x:c r="Q143" s="195"/>
      <x:c r="R143" s="195"/>
      <x:c r="S143" s="196" t="str">
        <x:f>IF(OR(M143="",N143="",Q143="",M143=0),"",ABS((M143-N143)/M143*Q143))</x:f>
      </x:c>
      <x:c r="T143" s="196" t="str">
        <x:f>IF(OR(M143="",N143="",O143="",M143=N143),"",ABS((O143-M143)/(M143-N143)))</x:f>
      </x:c>
      <x:c r="U143" s="195"/>
      <x:c r="V143" s="196" t="str">
        <x:f>IF(U143&lt;&gt;"",U143,IF(OR(P143="",M143="",Q143="",E143=""),"",IF(E143="做多",(P143-M143)/M143*Q143-R143,(M143-P143)/M143*Q143-R143)))</x:f>
      </x:c>
      <x:c r="W143" s="197" t="str">
        <x:f>IF(OR(V143="",S143="",S143=0),"",V143/S143)</x:f>
      </x:c>
      <x:c r="X143" s="198" t="str">
        <x:f>IF(V143="","",IF(V143&gt;0,"Win",IF(V143&lt;0,"Loss","BE")))</x:f>
      </x:c>
      <x:c r="Y143" s="194"/>
      <x:c r="Z143" s="194"/>
      <x:c r="AA143" s="194"/>
      <x:c r="AB143" s="194"/>
      <x:c r="AC143" s="194"/>
      <x:c r="AD143" s="196" t="str">
        <x:f>IF(A143="","",SUM($V$4:V143))</x:f>
      </x:c>
      <x:c r="AE143" s="196" t="str">
        <x:f>IF(AD143="","",MAX(0,$AD$4:AD143))</x:f>
      </x:c>
      <x:c r="AF143" s="199" t="str">
        <x:f>IF(AD143="","",AD143-AE143)</x:f>
      </x:c>
    </x:row>
    <x:row r="144">
      <x:c r="A144" s="192"/>
      <x:c r="B144" s="193"/>
      <x:c r="C144" s="193"/>
      <x:c r="D144" s="194"/>
      <x:c r="E144" s="194"/>
      <x:c r="F144" s="194"/>
      <x:c r="G144" s="194"/>
      <x:c r="H144" s="194"/>
      <x:c r="I144" s="194"/>
      <x:c r="J144" s="194"/>
      <x:c r="K144" s="194"/>
      <x:c r="L144" s="194"/>
      <x:c r="M144" s="195"/>
      <x:c r="N144" s="195"/>
      <x:c r="O144" s="195"/>
      <x:c r="P144" s="195"/>
      <x:c r="Q144" s="195"/>
      <x:c r="R144" s="195"/>
      <x:c r="S144" s="196" t="str">
        <x:f>IF(OR(M144="",N144="",Q144="",M144=0),"",ABS((M144-N144)/M144*Q144))</x:f>
      </x:c>
      <x:c r="T144" s="196" t="str">
        <x:f>IF(OR(M144="",N144="",O144="",M144=N144),"",ABS((O144-M144)/(M144-N144)))</x:f>
      </x:c>
      <x:c r="U144" s="195"/>
      <x:c r="V144" s="196" t="str">
        <x:f>IF(U144&lt;&gt;"",U144,IF(OR(P144="",M144="",Q144="",E144=""),"",IF(E144="做多",(P144-M144)/M144*Q144-R144,(M144-P144)/M144*Q144-R144)))</x:f>
      </x:c>
      <x:c r="W144" s="197" t="str">
        <x:f>IF(OR(V144="",S144="",S144=0),"",V144/S144)</x:f>
      </x:c>
      <x:c r="X144" s="198" t="str">
        <x:f>IF(V144="","",IF(V144&gt;0,"Win",IF(V144&lt;0,"Loss","BE")))</x:f>
      </x:c>
      <x:c r="Y144" s="194"/>
      <x:c r="Z144" s="194"/>
      <x:c r="AA144" s="194"/>
      <x:c r="AB144" s="194"/>
      <x:c r="AC144" s="194"/>
      <x:c r="AD144" s="196" t="str">
        <x:f>IF(A144="","",SUM($V$4:V144))</x:f>
      </x:c>
      <x:c r="AE144" s="196" t="str">
        <x:f>IF(AD144="","",MAX(0,$AD$4:AD144))</x:f>
      </x:c>
      <x:c r="AF144" s="199" t="str">
        <x:f>IF(AD144="","",AD144-AE144)</x:f>
      </x:c>
    </x:row>
    <x:row r="145">
      <x:c r="A145" s="192"/>
      <x:c r="B145" s="193"/>
      <x:c r="C145" s="193"/>
      <x:c r="D145" s="194"/>
      <x:c r="E145" s="194"/>
      <x:c r="F145" s="194"/>
      <x:c r="G145" s="194"/>
      <x:c r="H145" s="194"/>
      <x:c r="I145" s="194"/>
      <x:c r="J145" s="194"/>
      <x:c r="K145" s="194"/>
      <x:c r="L145" s="194"/>
      <x:c r="M145" s="195"/>
      <x:c r="N145" s="195"/>
      <x:c r="O145" s="195"/>
      <x:c r="P145" s="195"/>
      <x:c r="Q145" s="195"/>
      <x:c r="R145" s="195"/>
      <x:c r="S145" s="196" t="str">
        <x:f>IF(OR(M145="",N145="",Q145="",M145=0),"",ABS((M145-N145)/M145*Q145))</x:f>
      </x:c>
      <x:c r="T145" s="196" t="str">
        <x:f>IF(OR(M145="",N145="",O145="",M145=N145),"",ABS((O145-M145)/(M145-N145)))</x:f>
      </x:c>
      <x:c r="U145" s="195"/>
      <x:c r="V145" s="196" t="str">
        <x:f>IF(U145&lt;&gt;"",U145,IF(OR(P145="",M145="",Q145="",E145=""),"",IF(E145="做多",(P145-M145)/M145*Q145-R145,(M145-P145)/M145*Q145-R145)))</x:f>
      </x:c>
      <x:c r="W145" s="197" t="str">
        <x:f>IF(OR(V145="",S145="",S145=0),"",V145/S145)</x:f>
      </x:c>
      <x:c r="X145" s="198" t="str">
        <x:f>IF(V145="","",IF(V145&gt;0,"Win",IF(V145&lt;0,"Loss","BE")))</x:f>
      </x:c>
      <x:c r="Y145" s="194"/>
      <x:c r="Z145" s="194"/>
      <x:c r="AA145" s="194"/>
      <x:c r="AB145" s="194"/>
      <x:c r="AC145" s="194"/>
      <x:c r="AD145" s="196" t="str">
        <x:f>IF(A145="","",SUM($V$4:V145))</x:f>
      </x:c>
      <x:c r="AE145" s="196" t="str">
        <x:f>IF(AD145="","",MAX(0,$AD$4:AD145))</x:f>
      </x:c>
      <x:c r="AF145" s="199" t="str">
        <x:f>IF(AD145="","",AD145-AE145)</x:f>
      </x:c>
    </x:row>
    <x:row r="146">
      <x:c r="A146" s="192"/>
      <x:c r="B146" s="193"/>
      <x:c r="C146" s="193"/>
      <x:c r="D146" s="194"/>
      <x:c r="E146" s="194"/>
      <x:c r="F146" s="194"/>
      <x:c r="G146" s="194"/>
      <x:c r="H146" s="194"/>
      <x:c r="I146" s="194"/>
      <x:c r="J146" s="194"/>
      <x:c r="K146" s="194"/>
      <x:c r="L146" s="194"/>
      <x:c r="M146" s="195"/>
      <x:c r="N146" s="195"/>
      <x:c r="O146" s="195"/>
      <x:c r="P146" s="195"/>
      <x:c r="Q146" s="195"/>
      <x:c r="R146" s="195"/>
      <x:c r="S146" s="196" t="str">
        <x:f>IF(OR(M146="",N146="",Q146="",M146=0),"",ABS((M146-N146)/M146*Q146))</x:f>
      </x:c>
      <x:c r="T146" s="196" t="str">
        <x:f>IF(OR(M146="",N146="",O146="",M146=N146),"",ABS((O146-M146)/(M146-N146)))</x:f>
      </x:c>
      <x:c r="U146" s="195"/>
      <x:c r="V146" s="196" t="str">
        <x:f>IF(U146&lt;&gt;"",U146,IF(OR(P146="",M146="",Q146="",E146=""),"",IF(E146="做多",(P146-M146)/M146*Q146-R146,(M146-P146)/M146*Q146-R146)))</x:f>
      </x:c>
      <x:c r="W146" s="197" t="str">
        <x:f>IF(OR(V146="",S146="",S146=0),"",V146/S146)</x:f>
      </x:c>
      <x:c r="X146" s="198" t="str">
        <x:f>IF(V146="","",IF(V146&gt;0,"Win",IF(V146&lt;0,"Loss","BE")))</x:f>
      </x:c>
      <x:c r="Y146" s="194"/>
      <x:c r="Z146" s="194"/>
      <x:c r="AA146" s="194"/>
      <x:c r="AB146" s="194"/>
      <x:c r="AC146" s="194"/>
      <x:c r="AD146" s="196" t="str">
        <x:f>IF(A146="","",SUM($V$4:V146))</x:f>
      </x:c>
      <x:c r="AE146" s="196" t="str">
        <x:f>IF(AD146="","",MAX(0,$AD$4:AD146))</x:f>
      </x:c>
      <x:c r="AF146" s="199" t="str">
        <x:f>IF(AD146="","",AD146-AE146)</x:f>
      </x:c>
    </x:row>
    <x:row r="147">
      <x:c r="A147" s="192"/>
      <x:c r="B147" s="193"/>
      <x:c r="C147" s="193"/>
      <x:c r="D147" s="194"/>
      <x:c r="E147" s="194"/>
      <x:c r="F147" s="194"/>
      <x:c r="G147" s="194"/>
      <x:c r="H147" s="194"/>
      <x:c r="I147" s="194"/>
      <x:c r="J147" s="194"/>
      <x:c r="K147" s="194"/>
      <x:c r="L147" s="194"/>
      <x:c r="M147" s="195"/>
      <x:c r="N147" s="195"/>
      <x:c r="O147" s="195"/>
      <x:c r="P147" s="195"/>
      <x:c r="Q147" s="195"/>
      <x:c r="R147" s="195"/>
      <x:c r="S147" s="196" t="str">
        <x:f>IF(OR(M147="",N147="",Q147="",M147=0),"",ABS((M147-N147)/M147*Q147))</x:f>
      </x:c>
      <x:c r="T147" s="196" t="str">
        <x:f>IF(OR(M147="",N147="",O147="",M147=N147),"",ABS((O147-M147)/(M147-N147)))</x:f>
      </x:c>
      <x:c r="U147" s="195"/>
      <x:c r="V147" s="196" t="str">
        <x:f>IF(U147&lt;&gt;"",U147,IF(OR(P147="",M147="",Q147="",E147=""),"",IF(E147="做多",(P147-M147)/M147*Q147-R147,(M147-P147)/M147*Q147-R147)))</x:f>
      </x:c>
      <x:c r="W147" s="197" t="str">
        <x:f>IF(OR(V147="",S147="",S147=0),"",V147/S147)</x:f>
      </x:c>
      <x:c r="X147" s="198" t="str">
        <x:f>IF(V147="","",IF(V147&gt;0,"Win",IF(V147&lt;0,"Loss","BE")))</x:f>
      </x:c>
      <x:c r="Y147" s="194"/>
      <x:c r="Z147" s="194"/>
      <x:c r="AA147" s="194"/>
      <x:c r="AB147" s="194"/>
      <x:c r="AC147" s="194"/>
      <x:c r="AD147" s="196" t="str">
        <x:f>IF(A147="","",SUM($V$4:V147))</x:f>
      </x:c>
      <x:c r="AE147" s="196" t="str">
        <x:f>IF(AD147="","",MAX(0,$AD$4:AD147))</x:f>
      </x:c>
      <x:c r="AF147" s="199" t="str">
        <x:f>IF(AD147="","",AD147-AE147)</x:f>
      </x:c>
    </x:row>
    <x:row r="148">
      <x:c r="A148" s="192"/>
      <x:c r="B148" s="193"/>
      <x:c r="C148" s="193"/>
      <x:c r="D148" s="194"/>
      <x:c r="E148" s="194"/>
      <x:c r="F148" s="194"/>
      <x:c r="G148" s="194"/>
      <x:c r="H148" s="194"/>
      <x:c r="I148" s="194"/>
      <x:c r="J148" s="194"/>
      <x:c r="K148" s="194"/>
      <x:c r="L148" s="194"/>
      <x:c r="M148" s="195"/>
      <x:c r="N148" s="195"/>
      <x:c r="O148" s="195"/>
      <x:c r="P148" s="195"/>
      <x:c r="Q148" s="195"/>
      <x:c r="R148" s="195"/>
      <x:c r="S148" s="196" t="str">
        <x:f>IF(OR(M148="",N148="",Q148="",M148=0),"",ABS((M148-N148)/M148*Q148))</x:f>
      </x:c>
      <x:c r="T148" s="196" t="str">
        <x:f>IF(OR(M148="",N148="",O148="",M148=N148),"",ABS((O148-M148)/(M148-N148)))</x:f>
      </x:c>
      <x:c r="U148" s="195"/>
      <x:c r="V148" s="196" t="str">
        <x:f>IF(U148&lt;&gt;"",U148,IF(OR(P148="",M148="",Q148="",E148=""),"",IF(E148="做多",(P148-M148)/M148*Q148-R148,(M148-P148)/M148*Q148-R148)))</x:f>
      </x:c>
      <x:c r="W148" s="197" t="str">
        <x:f>IF(OR(V148="",S148="",S148=0),"",V148/S148)</x:f>
      </x:c>
      <x:c r="X148" s="198" t="str">
        <x:f>IF(V148="","",IF(V148&gt;0,"Win",IF(V148&lt;0,"Loss","BE")))</x:f>
      </x:c>
      <x:c r="Y148" s="194"/>
      <x:c r="Z148" s="194"/>
      <x:c r="AA148" s="194"/>
      <x:c r="AB148" s="194"/>
      <x:c r="AC148" s="194"/>
      <x:c r="AD148" s="196" t="str">
        <x:f>IF(A148="","",SUM($V$4:V148))</x:f>
      </x:c>
      <x:c r="AE148" s="196" t="str">
        <x:f>IF(AD148="","",MAX(0,$AD$4:AD148))</x:f>
      </x:c>
      <x:c r="AF148" s="199" t="str">
        <x:f>IF(AD148="","",AD148-AE148)</x:f>
      </x:c>
    </x:row>
    <x:row r="149">
      <x:c r="A149" s="192"/>
      <x:c r="B149" s="193"/>
      <x:c r="C149" s="193"/>
      <x:c r="D149" s="194"/>
      <x:c r="E149" s="194"/>
      <x:c r="F149" s="194"/>
      <x:c r="G149" s="194"/>
      <x:c r="H149" s="194"/>
      <x:c r="I149" s="194"/>
      <x:c r="J149" s="194"/>
      <x:c r="K149" s="194"/>
      <x:c r="L149" s="194"/>
      <x:c r="M149" s="195"/>
      <x:c r="N149" s="195"/>
      <x:c r="O149" s="195"/>
      <x:c r="P149" s="195"/>
      <x:c r="Q149" s="195"/>
      <x:c r="R149" s="195"/>
      <x:c r="S149" s="196" t="str">
        <x:f>IF(OR(M149="",N149="",Q149="",M149=0),"",ABS((M149-N149)/M149*Q149))</x:f>
      </x:c>
      <x:c r="T149" s="196" t="str">
        <x:f>IF(OR(M149="",N149="",O149="",M149=N149),"",ABS((O149-M149)/(M149-N149)))</x:f>
      </x:c>
      <x:c r="U149" s="195"/>
      <x:c r="V149" s="196" t="str">
        <x:f>IF(U149&lt;&gt;"",U149,IF(OR(P149="",M149="",Q149="",E149=""),"",IF(E149="做多",(P149-M149)/M149*Q149-R149,(M149-P149)/M149*Q149-R149)))</x:f>
      </x:c>
      <x:c r="W149" s="197" t="str">
        <x:f>IF(OR(V149="",S149="",S149=0),"",V149/S149)</x:f>
      </x:c>
      <x:c r="X149" s="198" t="str">
        <x:f>IF(V149="","",IF(V149&gt;0,"Win",IF(V149&lt;0,"Loss","BE")))</x:f>
      </x:c>
      <x:c r="Y149" s="194"/>
      <x:c r="Z149" s="194"/>
      <x:c r="AA149" s="194"/>
      <x:c r="AB149" s="194"/>
      <x:c r="AC149" s="194"/>
      <x:c r="AD149" s="196" t="str">
        <x:f>IF(A149="","",SUM($V$4:V149))</x:f>
      </x:c>
      <x:c r="AE149" s="196" t="str">
        <x:f>IF(AD149="","",MAX(0,$AD$4:AD149))</x:f>
      </x:c>
      <x:c r="AF149" s="199" t="str">
        <x:f>IF(AD149="","",AD149-AE149)</x:f>
      </x:c>
    </x:row>
    <x:row r="150">
      <x:c r="A150" s="192"/>
      <x:c r="B150" s="193"/>
      <x:c r="C150" s="193"/>
      <x:c r="D150" s="194"/>
      <x:c r="E150" s="194"/>
      <x:c r="F150" s="194"/>
      <x:c r="G150" s="194"/>
      <x:c r="H150" s="194"/>
      <x:c r="I150" s="194"/>
      <x:c r="J150" s="194"/>
      <x:c r="K150" s="194"/>
      <x:c r="L150" s="194"/>
      <x:c r="M150" s="195"/>
      <x:c r="N150" s="195"/>
      <x:c r="O150" s="195"/>
      <x:c r="P150" s="195"/>
      <x:c r="Q150" s="195"/>
      <x:c r="R150" s="195"/>
      <x:c r="S150" s="196" t="str">
        <x:f>IF(OR(M150="",N150="",Q150="",M150=0),"",ABS((M150-N150)/M150*Q150))</x:f>
      </x:c>
      <x:c r="T150" s="196" t="str">
        <x:f>IF(OR(M150="",N150="",O150="",M150=N150),"",ABS((O150-M150)/(M150-N150)))</x:f>
      </x:c>
      <x:c r="U150" s="195"/>
      <x:c r="V150" s="196" t="str">
        <x:f>IF(U150&lt;&gt;"",U150,IF(OR(P150="",M150="",Q150="",E150=""),"",IF(E150="做多",(P150-M150)/M150*Q150-R150,(M150-P150)/M150*Q150-R150)))</x:f>
      </x:c>
      <x:c r="W150" s="197" t="str">
        <x:f>IF(OR(V150="",S150="",S150=0),"",V150/S150)</x:f>
      </x:c>
      <x:c r="X150" s="198" t="str">
        <x:f>IF(V150="","",IF(V150&gt;0,"Win",IF(V150&lt;0,"Loss","BE")))</x:f>
      </x:c>
      <x:c r="Y150" s="194"/>
      <x:c r="Z150" s="194"/>
      <x:c r="AA150" s="194"/>
      <x:c r="AB150" s="194"/>
      <x:c r="AC150" s="194"/>
      <x:c r="AD150" s="196" t="str">
        <x:f>IF(A150="","",SUM($V$4:V150))</x:f>
      </x:c>
      <x:c r="AE150" s="196" t="str">
        <x:f>IF(AD150="","",MAX(0,$AD$4:AD150))</x:f>
      </x:c>
      <x:c r="AF150" s="199" t="str">
        <x:f>IF(AD150="","",AD150-AE150)</x:f>
      </x:c>
    </x:row>
    <x:row r="151">
      <x:c r="A151" s="192"/>
      <x:c r="B151" s="193"/>
      <x:c r="C151" s="193"/>
      <x:c r="D151" s="194"/>
      <x:c r="E151" s="194"/>
      <x:c r="F151" s="194"/>
      <x:c r="G151" s="194"/>
      <x:c r="H151" s="194"/>
      <x:c r="I151" s="194"/>
      <x:c r="J151" s="194"/>
      <x:c r="K151" s="194"/>
      <x:c r="L151" s="194"/>
      <x:c r="M151" s="195"/>
      <x:c r="N151" s="195"/>
      <x:c r="O151" s="195"/>
      <x:c r="P151" s="195"/>
      <x:c r="Q151" s="195"/>
      <x:c r="R151" s="195"/>
      <x:c r="S151" s="196" t="str">
        <x:f>IF(OR(M151="",N151="",Q151="",M151=0),"",ABS((M151-N151)/M151*Q151))</x:f>
      </x:c>
      <x:c r="T151" s="196" t="str">
        <x:f>IF(OR(M151="",N151="",O151="",M151=N151),"",ABS((O151-M151)/(M151-N151)))</x:f>
      </x:c>
      <x:c r="U151" s="195"/>
      <x:c r="V151" s="196" t="str">
        <x:f>IF(U151&lt;&gt;"",U151,IF(OR(P151="",M151="",Q151="",E151=""),"",IF(E151="做多",(P151-M151)/M151*Q151-R151,(M151-P151)/M151*Q151-R151)))</x:f>
      </x:c>
      <x:c r="W151" s="197" t="str">
        <x:f>IF(OR(V151="",S151="",S151=0),"",V151/S151)</x:f>
      </x:c>
      <x:c r="X151" s="198" t="str">
        <x:f>IF(V151="","",IF(V151&gt;0,"Win",IF(V151&lt;0,"Loss","BE")))</x:f>
      </x:c>
      <x:c r="Y151" s="194"/>
      <x:c r="Z151" s="194"/>
      <x:c r="AA151" s="194"/>
      <x:c r="AB151" s="194"/>
      <x:c r="AC151" s="194"/>
      <x:c r="AD151" s="196" t="str">
        <x:f>IF(A151="","",SUM($V$4:V151))</x:f>
      </x:c>
      <x:c r="AE151" s="196" t="str">
        <x:f>IF(AD151="","",MAX(0,$AD$4:AD151))</x:f>
      </x:c>
      <x:c r="AF151" s="199" t="str">
        <x:f>IF(AD151="","",AD151-AE151)</x:f>
      </x:c>
    </x:row>
    <x:row r="152">
      <x:c r="A152" s="192"/>
      <x:c r="B152" s="193"/>
      <x:c r="C152" s="193"/>
      <x:c r="D152" s="194"/>
      <x:c r="E152" s="194"/>
      <x:c r="F152" s="194"/>
      <x:c r="G152" s="194"/>
      <x:c r="H152" s="194"/>
      <x:c r="I152" s="194"/>
      <x:c r="J152" s="194"/>
      <x:c r="K152" s="194"/>
      <x:c r="L152" s="194"/>
      <x:c r="M152" s="195"/>
      <x:c r="N152" s="195"/>
      <x:c r="O152" s="195"/>
      <x:c r="P152" s="195"/>
      <x:c r="Q152" s="195"/>
      <x:c r="R152" s="195"/>
      <x:c r="S152" s="196" t="str">
        <x:f>IF(OR(M152="",N152="",Q152="",M152=0),"",ABS((M152-N152)/M152*Q152))</x:f>
      </x:c>
      <x:c r="T152" s="196" t="str">
        <x:f>IF(OR(M152="",N152="",O152="",M152=N152),"",ABS((O152-M152)/(M152-N152)))</x:f>
      </x:c>
      <x:c r="U152" s="195"/>
      <x:c r="V152" s="196" t="str">
        <x:f>IF(U152&lt;&gt;"",U152,IF(OR(P152="",M152="",Q152="",E152=""),"",IF(E152="做多",(P152-M152)/M152*Q152-R152,(M152-P152)/M152*Q152-R152)))</x:f>
      </x:c>
      <x:c r="W152" s="197" t="str">
        <x:f>IF(OR(V152="",S152="",S152=0),"",V152/S152)</x:f>
      </x:c>
      <x:c r="X152" s="198" t="str">
        <x:f>IF(V152="","",IF(V152&gt;0,"Win",IF(V152&lt;0,"Loss","BE")))</x:f>
      </x:c>
      <x:c r="Y152" s="194"/>
      <x:c r="Z152" s="194"/>
      <x:c r="AA152" s="194"/>
      <x:c r="AB152" s="194"/>
      <x:c r="AC152" s="194"/>
      <x:c r="AD152" s="196" t="str">
        <x:f>IF(A152="","",SUM($V$4:V152))</x:f>
      </x:c>
      <x:c r="AE152" s="196" t="str">
        <x:f>IF(AD152="","",MAX(0,$AD$4:AD152))</x:f>
      </x:c>
      <x:c r="AF152" s="199" t="str">
        <x:f>IF(AD152="","",AD152-AE152)</x:f>
      </x:c>
    </x:row>
    <x:row r="153">
      <x:c r="A153" s="192"/>
      <x:c r="B153" s="193"/>
      <x:c r="C153" s="193"/>
      <x:c r="D153" s="194"/>
      <x:c r="E153" s="194"/>
      <x:c r="F153" s="194"/>
      <x:c r="G153" s="194"/>
      <x:c r="H153" s="194"/>
      <x:c r="I153" s="194"/>
      <x:c r="J153" s="194"/>
      <x:c r="K153" s="194"/>
      <x:c r="L153" s="194"/>
      <x:c r="M153" s="195"/>
      <x:c r="N153" s="195"/>
      <x:c r="O153" s="195"/>
      <x:c r="P153" s="195"/>
      <x:c r="Q153" s="195"/>
      <x:c r="R153" s="195"/>
      <x:c r="S153" s="196" t="str">
        <x:f>IF(OR(M153="",N153="",Q153="",M153=0),"",ABS((M153-N153)/M153*Q153))</x:f>
      </x:c>
      <x:c r="T153" s="196" t="str">
        <x:f>IF(OR(M153="",N153="",O153="",M153=N153),"",ABS((O153-M153)/(M153-N153)))</x:f>
      </x:c>
      <x:c r="U153" s="195"/>
      <x:c r="V153" s="196" t="str">
        <x:f>IF(U153&lt;&gt;"",U153,IF(OR(P153="",M153="",Q153="",E153=""),"",IF(E153="做多",(P153-M153)/M153*Q153-R153,(M153-P153)/M153*Q153-R153)))</x:f>
      </x:c>
      <x:c r="W153" s="197" t="str">
        <x:f>IF(OR(V153="",S153="",S153=0),"",V153/S153)</x:f>
      </x:c>
      <x:c r="X153" s="198" t="str">
        <x:f>IF(V153="","",IF(V153&gt;0,"Win",IF(V153&lt;0,"Loss","BE")))</x:f>
      </x:c>
      <x:c r="Y153" s="194"/>
      <x:c r="Z153" s="194"/>
      <x:c r="AA153" s="194"/>
      <x:c r="AB153" s="194"/>
      <x:c r="AC153" s="194"/>
      <x:c r="AD153" s="196" t="str">
        <x:f>IF(A153="","",SUM($V$4:V153))</x:f>
      </x:c>
      <x:c r="AE153" s="196" t="str">
        <x:f>IF(AD153="","",MAX(0,$AD$4:AD153))</x:f>
      </x:c>
      <x:c r="AF153" s="199" t="str">
        <x:f>IF(AD153="","",AD153-AE153)</x:f>
      </x:c>
    </x:row>
    <x:row r="154">
      <x:c r="A154" s="192"/>
      <x:c r="B154" s="193"/>
      <x:c r="C154" s="193"/>
      <x:c r="D154" s="194"/>
      <x:c r="E154" s="194"/>
      <x:c r="F154" s="194"/>
      <x:c r="G154" s="194"/>
      <x:c r="H154" s="194"/>
      <x:c r="I154" s="194"/>
      <x:c r="J154" s="194"/>
      <x:c r="K154" s="194"/>
      <x:c r="L154" s="194"/>
      <x:c r="M154" s="195"/>
      <x:c r="N154" s="195"/>
      <x:c r="O154" s="195"/>
      <x:c r="P154" s="195"/>
      <x:c r="Q154" s="195"/>
      <x:c r="R154" s="195"/>
      <x:c r="S154" s="196" t="str">
        <x:f>IF(OR(M154="",N154="",Q154="",M154=0),"",ABS((M154-N154)/M154*Q154))</x:f>
      </x:c>
      <x:c r="T154" s="196" t="str">
        <x:f>IF(OR(M154="",N154="",O154="",M154=N154),"",ABS((O154-M154)/(M154-N154)))</x:f>
      </x:c>
      <x:c r="U154" s="195"/>
      <x:c r="V154" s="196" t="str">
        <x:f>IF(U154&lt;&gt;"",U154,IF(OR(P154="",M154="",Q154="",E154=""),"",IF(E154="做多",(P154-M154)/M154*Q154-R154,(M154-P154)/M154*Q154-R154)))</x:f>
      </x:c>
      <x:c r="W154" s="197" t="str">
        <x:f>IF(OR(V154="",S154="",S154=0),"",V154/S154)</x:f>
      </x:c>
      <x:c r="X154" s="198" t="str">
        <x:f>IF(V154="","",IF(V154&gt;0,"Win",IF(V154&lt;0,"Loss","BE")))</x:f>
      </x:c>
      <x:c r="Y154" s="194"/>
      <x:c r="Z154" s="194"/>
      <x:c r="AA154" s="194"/>
      <x:c r="AB154" s="194"/>
      <x:c r="AC154" s="194"/>
      <x:c r="AD154" s="196" t="str">
        <x:f>IF(A154="","",SUM($V$4:V154))</x:f>
      </x:c>
      <x:c r="AE154" s="196" t="str">
        <x:f>IF(AD154="","",MAX(0,$AD$4:AD154))</x:f>
      </x:c>
      <x:c r="AF154" s="199" t="str">
        <x:f>IF(AD154="","",AD154-AE154)</x:f>
      </x:c>
    </x:row>
    <x:row r="155">
      <x:c r="A155" s="192"/>
      <x:c r="B155" s="193"/>
      <x:c r="C155" s="193"/>
      <x:c r="D155" s="194"/>
      <x:c r="E155" s="194"/>
      <x:c r="F155" s="194"/>
      <x:c r="G155" s="194"/>
      <x:c r="H155" s="194"/>
      <x:c r="I155" s="194"/>
      <x:c r="J155" s="194"/>
      <x:c r="K155" s="194"/>
      <x:c r="L155" s="194"/>
      <x:c r="M155" s="195"/>
      <x:c r="N155" s="195"/>
      <x:c r="O155" s="195"/>
      <x:c r="P155" s="195"/>
      <x:c r="Q155" s="195"/>
      <x:c r="R155" s="195"/>
      <x:c r="S155" s="196" t="str">
        <x:f>IF(OR(M155="",N155="",Q155="",M155=0),"",ABS((M155-N155)/M155*Q155))</x:f>
      </x:c>
      <x:c r="T155" s="196" t="str">
        <x:f>IF(OR(M155="",N155="",O155="",M155=N155),"",ABS((O155-M155)/(M155-N155)))</x:f>
      </x:c>
      <x:c r="U155" s="195"/>
      <x:c r="V155" s="196" t="str">
        <x:f>IF(U155&lt;&gt;"",U155,IF(OR(P155="",M155="",Q155="",E155=""),"",IF(E155="做多",(P155-M155)/M155*Q155-R155,(M155-P155)/M155*Q155-R155)))</x:f>
      </x:c>
      <x:c r="W155" s="197" t="str">
        <x:f>IF(OR(V155="",S155="",S155=0),"",V155/S155)</x:f>
      </x:c>
      <x:c r="X155" s="198" t="str">
        <x:f>IF(V155="","",IF(V155&gt;0,"Win",IF(V155&lt;0,"Loss","BE")))</x:f>
      </x:c>
      <x:c r="Y155" s="194"/>
      <x:c r="Z155" s="194"/>
      <x:c r="AA155" s="194"/>
      <x:c r="AB155" s="194"/>
      <x:c r="AC155" s="194"/>
      <x:c r="AD155" s="196" t="str">
        <x:f>IF(A155="","",SUM($V$4:V155))</x:f>
      </x:c>
      <x:c r="AE155" s="196" t="str">
        <x:f>IF(AD155="","",MAX(0,$AD$4:AD155))</x:f>
      </x:c>
      <x:c r="AF155" s="199" t="str">
        <x:f>IF(AD155="","",AD155-AE155)</x:f>
      </x:c>
    </x:row>
    <x:row r="156">
      <x:c r="A156" s="192"/>
      <x:c r="B156" s="193"/>
      <x:c r="C156" s="193"/>
      <x:c r="D156" s="194"/>
      <x:c r="E156" s="194"/>
      <x:c r="F156" s="194"/>
      <x:c r="G156" s="194"/>
      <x:c r="H156" s="194"/>
      <x:c r="I156" s="194"/>
      <x:c r="J156" s="194"/>
      <x:c r="K156" s="194"/>
      <x:c r="L156" s="194"/>
      <x:c r="M156" s="195"/>
      <x:c r="N156" s="195"/>
      <x:c r="O156" s="195"/>
      <x:c r="P156" s="195"/>
      <x:c r="Q156" s="195"/>
      <x:c r="R156" s="195"/>
      <x:c r="S156" s="196" t="str">
        <x:f>IF(OR(M156="",N156="",Q156="",M156=0),"",ABS((M156-N156)/M156*Q156))</x:f>
      </x:c>
      <x:c r="T156" s="196" t="str">
        <x:f>IF(OR(M156="",N156="",O156="",M156=N156),"",ABS((O156-M156)/(M156-N156)))</x:f>
      </x:c>
      <x:c r="U156" s="195"/>
      <x:c r="V156" s="196" t="str">
        <x:f>IF(U156&lt;&gt;"",U156,IF(OR(P156="",M156="",Q156="",E156=""),"",IF(E156="做多",(P156-M156)/M156*Q156-R156,(M156-P156)/M156*Q156-R156)))</x:f>
      </x:c>
      <x:c r="W156" s="197" t="str">
        <x:f>IF(OR(V156="",S156="",S156=0),"",V156/S156)</x:f>
      </x:c>
      <x:c r="X156" s="198" t="str">
        <x:f>IF(V156="","",IF(V156&gt;0,"Win",IF(V156&lt;0,"Loss","BE")))</x:f>
      </x:c>
      <x:c r="Y156" s="194"/>
      <x:c r="Z156" s="194"/>
      <x:c r="AA156" s="194"/>
      <x:c r="AB156" s="194"/>
      <x:c r="AC156" s="194"/>
      <x:c r="AD156" s="196" t="str">
        <x:f>IF(A156="","",SUM($V$4:V156))</x:f>
      </x:c>
      <x:c r="AE156" s="196" t="str">
        <x:f>IF(AD156="","",MAX(0,$AD$4:AD156))</x:f>
      </x:c>
      <x:c r="AF156" s="199" t="str">
        <x:f>IF(AD156="","",AD156-AE156)</x:f>
      </x:c>
    </x:row>
    <x:row r="157">
      <x:c r="A157" s="192"/>
      <x:c r="B157" s="193"/>
      <x:c r="C157" s="193"/>
      <x:c r="D157" s="194"/>
      <x:c r="E157" s="194"/>
      <x:c r="F157" s="194"/>
      <x:c r="G157" s="194"/>
      <x:c r="H157" s="194"/>
      <x:c r="I157" s="194"/>
      <x:c r="J157" s="194"/>
      <x:c r="K157" s="194"/>
      <x:c r="L157" s="194"/>
      <x:c r="M157" s="195"/>
      <x:c r="N157" s="195"/>
      <x:c r="O157" s="195"/>
      <x:c r="P157" s="195"/>
      <x:c r="Q157" s="195"/>
      <x:c r="R157" s="195"/>
      <x:c r="S157" s="196" t="str">
        <x:f>IF(OR(M157="",N157="",Q157="",M157=0),"",ABS((M157-N157)/M157*Q157))</x:f>
      </x:c>
      <x:c r="T157" s="196" t="str">
        <x:f>IF(OR(M157="",N157="",O157="",M157=N157),"",ABS((O157-M157)/(M157-N157)))</x:f>
      </x:c>
      <x:c r="U157" s="195"/>
      <x:c r="V157" s="196" t="str">
        <x:f>IF(U157&lt;&gt;"",U157,IF(OR(P157="",M157="",Q157="",E157=""),"",IF(E157="做多",(P157-M157)/M157*Q157-R157,(M157-P157)/M157*Q157-R157)))</x:f>
      </x:c>
      <x:c r="W157" s="197" t="str">
        <x:f>IF(OR(V157="",S157="",S157=0),"",V157/S157)</x:f>
      </x:c>
      <x:c r="X157" s="198" t="str">
        <x:f>IF(V157="","",IF(V157&gt;0,"Win",IF(V157&lt;0,"Loss","BE")))</x:f>
      </x:c>
      <x:c r="Y157" s="194"/>
      <x:c r="Z157" s="194"/>
      <x:c r="AA157" s="194"/>
      <x:c r="AB157" s="194"/>
      <x:c r="AC157" s="194"/>
      <x:c r="AD157" s="196" t="str">
        <x:f>IF(A157="","",SUM($V$4:V157))</x:f>
      </x:c>
      <x:c r="AE157" s="196" t="str">
        <x:f>IF(AD157="","",MAX(0,$AD$4:AD157))</x:f>
      </x:c>
      <x:c r="AF157" s="199" t="str">
        <x:f>IF(AD157="","",AD157-AE157)</x:f>
      </x:c>
    </x:row>
    <x:row r="158">
      <x:c r="A158" s="192"/>
      <x:c r="B158" s="193"/>
      <x:c r="C158" s="193"/>
      <x:c r="D158" s="194"/>
      <x:c r="E158" s="194"/>
      <x:c r="F158" s="194"/>
      <x:c r="G158" s="194"/>
      <x:c r="H158" s="194"/>
      <x:c r="I158" s="194"/>
      <x:c r="J158" s="194"/>
      <x:c r="K158" s="194"/>
      <x:c r="L158" s="194"/>
      <x:c r="M158" s="195"/>
      <x:c r="N158" s="195"/>
      <x:c r="O158" s="195"/>
      <x:c r="P158" s="195"/>
      <x:c r="Q158" s="195"/>
      <x:c r="R158" s="195"/>
      <x:c r="S158" s="196" t="str">
        <x:f>IF(OR(M158="",N158="",Q158="",M158=0),"",ABS((M158-N158)/M158*Q158))</x:f>
      </x:c>
      <x:c r="T158" s="196" t="str">
        <x:f>IF(OR(M158="",N158="",O158="",M158=N158),"",ABS((O158-M158)/(M158-N158)))</x:f>
      </x:c>
      <x:c r="U158" s="195"/>
      <x:c r="V158" s="196" t="str">
        <x:f>IF(U158&lt;&gt;"",U158,IF(OR(P158="",M158="",Q158="",E158=""),"",IF(E158="做多",(P158-M158)/M158*Q158-R158,(M158-P158)/M158*Q158-R158)))</x:f>
      </x:c>
      <x:c r="W158" s="197" t="str">
        <x:f>IF(OR(V158="",S158="",S158=0),"",V158/S158)</x:f>
      </x:c>
      <x:c r="X158" s="198" t="str">
        <x:f>IF(V158="","",IF(V158&gt;0,"Win",IF(V158&lt;0,"Loss","BE")))</x:f>
      </x:c>
      <x:c r="Y158" s="194"/>
      <x:c r="Z158" s="194"/>
      <x:c r="AA158" s="194"/>
      <x:c r="AB158" s="194"/>
      <x:c r="AC158" s="194"/>
      <x:c r="AD158" s="196" t="str">
        <x:f>IF(A158="","",SUM($V$4:V158))</x:f>
      </x:c>
      <x:c r="AE158" s="196" t="str">
        <x:f>IF(AD158="","",MAX(0,$AD$4:AD158))</x:f>
      </x:c>
      <x:c r="AF158" s="199" t="str">
        <x:f>IF(AD158="","",AD158-AE158)</x:f>
      </x:c>
    </x:row>
    <x:row r="159">
      <x:c r="A159" s="192"/>
      <x:c r="B159" s="193"/>
      <x:c r="C159" s="193"/>
      <x:c r="D159" s="194"/>
      <x:c r="E159" s="194"/>
      <x:c r="F159" s="194"/>
      <x:c r="G159" s="194"/>
      <x:c r="H159" s="194"/>
      <x:c r="I159" s="194"/>
      <x:c r="J159" s="194"/>
      <x:c r="K159" s="194"/>
      <x:c r="L159" s="194"/>
      <x:c r="M159" s="195"/>
      <x:c r="N159" s="195"/>
      <x:c r="O159" s="195"/>
      <x:c r="P159" s="195"/>
      <x:c r="Q159" s="195"/>
      <x:c r="R159" s="195"/>
      <x:c r="S159" s="196" t="str">
        <x:f>IF(OR(M159="",N159="",Q159="",M159=0),"",ABS((M159-N159)/M159*Q159))</x:f>
      </x:c>
      <x:c r="T159" s="196" t="str">
        <x:f>IF(OR(M159="",N159="",O159="",M159=N159),"",ABS((O159-M159)/(M159-N159)))</x:f>
      </x:c>
      <x:c r="U159" s="195"/>
      <x:c r="V159" s="196" t="str">
        <x:f>IF(U159&lt;&gt;"",U159,IF(OR(P159="",M159="",Q159="",E159=""),"",IF(E159="做多",(P159-M159)/M159*Q159-R159,(M159-P159)/M159*Q159-R159)))</x:f>
      </x:c>
      <x:c r="W159" s="197" t="str">
        <x:f>IF(OR(V159="",S159="",S159=0),"",V159/S159)</x:f>
      </x:c>
      <x:c r="X159" s="198" t="str">
        <x:f>IF(V159="","",IF(V159&gt;0,"Win",IF(V159&lt;0,"Loss","BE")))</x:f>
      </x:c>
      <x:c r="Y159" s="194"/>
      <x:c r="Z159" s="194"/>
      <x:c r="AA159" s="194"/>
      <x:c r="AB159" s="194"/>
      <x:c r="AC159" s="194"/>
      <x:c r="AD159" s="196" t="str">
        <x:f>IF(A159="","",SUM($V$4:V159))</x:f>
      </x:c>
      <x:c r="AE159" s="196" t="str">
        <x:f>IF(AD159="","",MAX(0,$AD$4:AD159))</x:f>
      </x:c>
      <x:c r="AF159" s="199" t="str">
        <x:f>IF(AD159="","",AD159-AE159)</x:f>
      </x:c>
    </x:row>
    <x:row r="160">
      <x:c r="A160" s="192"/>
      <x:c r="B160" s="193"/>
      <x:c r="C160" s="193"/>
      <x:c r="D160" s="194"/>
      <x:c r="E160" s="194"/>
      <x:c r="F160" s="194"/>
      <x:c r="G160" s="194"/>
      <x:c r="H160" s="194"/>
      <x:c r="I160" s="194"/>
      <x:c r="J160" s="194"/>
      <x:c r="K160" s="194"/>
      <x:c r="L160" s="194"/>
      <x:c r="M160" s="195"/>
      <x:c r="N160" s="195"/>
      <x:c r="O160" s="195"/>
      <x:c r="P160" s="195"/>
      <x:c r="Q160" s="195"/>
      <x:c r="R160" s="195"/>
      <x:c r="S160" s="196" t="str">
        <x:f>IF(OR(M160="",N160="",Q160="",M160=0),"",ABS((M160-N160)/M160*Q160))</x:f>
      </x:c>
      <x:c r="T160" s="196" t="str">
        <x:f>IF(OR(M160="",N160="",O160="",M160=N160),"",ABS((O160-M160)/(M160-N160)))</x:f>
      </x:c>
      <x:c r="U160" s="195"/>
      <x:c r="V160" s="196" t="str">
        <x:f>IF(U160&lt;&gt;"",U160,IF(OR(P160="",M160="",Q160="",E160=""),"",IF(E160="做多",(P160-M160)/M160*Q160-R160,(M160-P160)/M160*Q160-R160)))</x:f>
      </x:c>
      <x:c r="W160" s="197" t="str">
        <x:f>IF(OR(V160="",S160="",S160=0),"",V160/S160)</x:f>
      </x:c>
      <x:c r="X160" s="198" t="str">
        <x:f>IF(V160="","",IF(V160&gt;0,"Win",IF(V160&lt;0,"Loss","BE")))</x:f>
      </x:c>
      <x:c r="Y160" s="194"/>
      <x:c r="Z160" s="194"/>
      <x:c r="AA160" s="194"/>
      <x:c r="AB160" s="194"/>
      <x:c r="AC160" s="194"/>
      <x:c r="AD160" s="196" t="str">
        <x:f>IF(A160="","",SUM($V$4:V160))</x:f>
      </x:c>
      <x:c r="AE160" s="196" t="str">
        <x:f>IF(AD160="","",MAX(0,$AD$4:AD160))</x:f>
      </x:c>
      <x:c r="AF160" s="199" t="str">
        <x:f>IF(AD160="","",AD160-AE160)</x:f>
      </x:c>
    </x:row>
    <x:row r="161">
      <x:c r="A161" s="192"/>
      <x:c r="B161" s="193"/>
      <x:c r="C161" s="193"/>
      <x:c r="D161" s="194"/>
      <x:c r="E161" s="194"/>
      <x:c r="F161" s="194"/>
      <x:c r="G161" s="194"/>
      <x:c r="H161" s="194"/>
      <x:c r="I161" s="194"/>
      <x:c r="J161" s="194"/>
      <x:c r="K161" s="194"/>
      <x:c r="L161" s="194"/>
      <x:c r="M161" s="195"/>
      <x:c r="N161" s="195"/>
      <x:c r="O161" s="195"/>
      <x:c r="P161" s="195"/>
      <x:c r="Q161" s="195"/>
      <x:c r="R161" s="195"/>
      <x:c r="S161" s="196" t="str">
        <x:f>IF(OR(M161="",N161="",Q161="",M161=0),"",ABS((M161-N161)/M161*Q161))</x:f>
      </x:c>
      <x:c r="T161" s="196" t="str">
        <x:f>IF(OR(M161="",N161="",O161="",M161=N161),"",ABS((O161-M161)/(M161-N161)))</x:f>
      </x:c>
      <x:c r="U161" s="195"/>
      <x:c r="V161" s="196" t="str">
        <x:f>IF(U161&lt;&gt;"",U161,IF(OR(P161="",M161="",Q161="",E161=""),"",IF(E161="做多",(P161-M161)/M161*Q161-R161,(M161-P161)/M161*Q161-R161)))</x:f>
      </x:c>
      <x:c r="W161" s="197" t="str">
        <x:f>IF(OR(V161="",S161="",S161=0),"",V161/S161)</x:f>
      </x:c>
      <x:c r="X161" s="198" t="str">
        <x:f>IF(V161="","",IF(V161&gt;0,"Win",IF(V161&lt;0,"Loss","BE")))</x:f>
      </x:c>
      <x:c r="Y161" s="194"/>
      <x:c r="Z161" s="194"/>
      <x:c r="AA161" s="194"/>
      <x:c r="AB161" s="194"/>
      <x:c r="AC161" s="194"/>
      <x:c r="AD161" s="196" t="str">
        <x:f>IF(A161="","",SUM($V$4:V161))</x:f>
      </x:c>
      <x:c r="AE161" s="196" t="str">
        <x:f>IF(AD161="","",MAX(0,$AD$4:AD161))</x:f>
      </x:c>
      <x:c r="AF161" s="199" t="str">
        <x:f>IF(AD161="","",AD161-AE161)</x:f>
      </x:c>
    </x:row>
    <x:row r="162">
      <x:c r="A162" s="192"/>
      <x:c r="B162" s="193"/>
      <x:c r="C162" s="193"/>
      <x:c r="D162" s="194"/>
      <x:c r="E162" s="194"/>
      <x:c r="F162" s="194"/>
      <x:c r="G162" s="194"/>
      <x:c r="H162" s="194"/>
      <x:c r="I162" s="194"/>
      <x:c r="J162" s="194"/>
      <x:c r="K162" s="194"/>
      <x:c r="L162" s="194"/>
      <x:c r="M162" s="195"/>
      <x:c r="N162" s="195"/>
      <x:c r="O162" s="195"/>
      <x:c r="P162" s="195"/>
      <x:c r="Q162" s="195"/>
      <x:c r="R162" s="195"/>
      <x:c r="S162" s="196" t="str">
        <x:f>IF(OR(M162="",N162="",Q162="",M162=0),"",ABS((M162-N162)/M162*Q162))</x:f>
      </x:c>
      <x:c r="T162" s="196" t="str">
        <x:f>IF(OR(M162="",N162="",O162="",M162=N162),"",ABS((O162-M162)/(M162-N162)))</x:f>
      </x:c>
      <x:c r="U162" s="195"/>
      <x:c r="V162" s="196" t="str">
        <x:f>IF(U162&lt;&gt;"",U162,IF(OR(P162="",M162="",Q162="",E162=""),"",IF(E162="做多",(P162-M162)/M162*Q162-R162,(M162-P162)/M162*Q162-R162)))</x:f>
      </x:c>
      <x:c r="W162" s="197" t="str">
        <x:f>IF(OR(V162="",S162="",S162=0),"",V162/S162)</x:f>
      </x:c>
      <x:c r="X162" s="198" t="str">
        <x:f>IF(V162="","",IF(V162&gt;0,"Win",IF(V162&lt;0,"Loss","BE")))</x:f>
      </x:c>
      <x:c r="Y162" s="194"/>
      <x:c r="Z162" s="194"/>
      <x:c r="AA162" s="194"/>
      <x:c r="AB162" s="194"/>
      <x:c r="AC162" s="194"/>
      <x:c r="AD162" s="196" t="str">
        <x:f>IF(A162="","",SUM($V$4:V162))</x:f>
      </x:c>
      <x:c r="AE162" s="196" t="str">
        <x:f>IF(AD162="","",MAX(0,$AD$4:AD162))</x:f>
      </x:c>
      <x:c r="AF162" s="199" t="str">
        <x:f>IF(AD162="","",AD162-AE162)</x:f>
      </x:c>
    </x:row>
    <x:row r="163">
      <x:c r="A163" s="192"/>
      <x:c r="B163" s="193"/>
      <x:c r="C163" s="193"/>
      <x:c r="D163" s="194"/>
      <x:c r="E163" s="194"/>
      <x:c r="F163" s="194"/>
      <x:c r="G163" s="194"/>
      <x:c r="H163" s="194"/>
      <x:c r="I163" s="194"/>
      <x:c r="J163" s="194"/>
      <x:c r="K163" s="194"/>
      <x:c r="L163" s="194"/>
      <x:c r="M163" s="195"/>
      <x:c r="N163" s="195"/>
      <x:c r="O163" s="195"/>
      <x:c r="P163" s="195"/>
      <x:c r="Q163" s="195"/>
      <x:c r="R163" s="195"/>
      <x:c r="S163" s="196" t="str">
        <x:f>IF(OR(M163="",N163="",Q163="",M163=0),"",ABS((M163-N163)/M163*Q163))</x:f>
      </x:c>
      <x:c r="T163" s="196" t="str">
        <x:f>IF(OR(M163="",N163="",O163="",M163=N163),"",ABS((O163-M163)/(M163-N163)))</x:f>
      </x:c>
      <x:c r="U163" s="195"/>
      <x:c r="V163" s="196" t="str">
        <x:f>IF(U163&lt;&gt;"",U163,IF(OR(P163="",M163="",Q163="",E163=""),"",IF(E163="做多",(P163-M163)/M163*Q163-R163,(M163-P163)/M163*Q163-R163)))</x:f>
      </x:c>
      <x:c r="W163" s="197" t="str">
        <x:f>IF(OR(V163="",S163="",S163=0),"",V163/S163)</x:f>
      </x:c>
      <x:c r="X163" s="198" t="str">
        <x:f>IF(V163="","",IF(V163&gt;0,"Win",IF(V163&lt;0,"Loss","BE")))</x:f>
      </x:c>
      <x:c r="Y163" s="194"/>
      <x:c r="Z163" s="194"/>
      <x:c r="AA163" s="194"/>
      <x:c r="AB163" s="194"/>
      <x:c r="AC163" s="194"/>
      <x:c r="AD163" s="196" t="str">
        <x:f>IF(A163="","",SUM($V$4:V163))</x:f>
      </x:c>
      <x:c r="AE163" s="196" t="str">
        <x:f>IF(AD163="","",MAX(0,$AD$4:AD163))</x:f>
      </x:c>
      <x:c r="AF163" s="199" t="str">
        <x:f>IF(AD163="","",AD163-AE163)</x:f>
      </x:c>
    </x:row>
    <x:row r="164">
      <x:c r="A164" s="192"/>
      <x:c r="B164" s="193"/>
      <x:c r="C164" s="193"/>
      <x:c r="D164" s="194"/>
      <x:c r="E164" s="194"/>
      <x:c r="F164" s="194"/>
      <x:c r="G164" s="194"/>
      <x:c r="H164" s="194"/>
      <x:c r="I164" s="194"/>
      <x:c r="J164" s="194"/>
      <x:c r="K164" s="194"/>
      <x:c r="L164" s="194"/>
      <x:c r="M164" s="195"/>
      <x:c r="N164" s="195"/>
      <x:c r="O164" s="195"/>
      <x:c r="P164" s="195"/>
      <x:c r="Q164" s="195"/>
      <x:c r="R164" s="195"/>
      <x:c r="S164" s="196" t="str">
        <x:f>IF(OR(M164="",N164="",Q164="",M164=0),"",ABS((M164-N164)/M164*Q164))</x:f>
      </x:c>
      <x:c r="T164" s="196" t="str">
        <x:f>IF(OR(M164="",N164="",O164="",M164=N164),"",ABS((O164-M164)/(M164-N164)))</x:f>
      </x:c>
      <x:c r="U164" s="195"/>
      <x:c r="V164" s="196" t="str">
        <x:f>IF(U164&lt;&gt;"",U164,IF(OR(P164="",M164="",Q164="",E164=""),"",IF(E164="做多",(P164-M164)/M164*Q164-R164,(M164-P164)/M164*Q164-R164)))</x:f>
      </x:c>
      <x:c r="W164" s="197" t="str">
        <x:f>IF(OR(V164="",S164="",S164=0),"",V164/S164)</x:f>
      </x:c>
      <x:c r="X164" s="198" t="str">
        <x:f>IF(V164="","",IF(V164&gt;0,"Win",IF(V164&lt;0,"Loss","BE")))</x:f>
      </x:c>
      <x:c r="Y164" s="194"/>
      <x:c r="Z164" s="194"/>
      <x:c r="AA164" s="194"/>
      <x:c r="AB164" s="194"/>
      <x:c r="AC164" s="194"/>
      <x:c r="AD164" s="196" t="str">
        <x:f>IF(A164="","",SUM($V$4:V164))</x:f>
      </x:c>
      <x:c r="AE164" s="196" t="str">
        <x:f>IF(AD164="","",MAX(0,$AD$4:AD164))</x:f>
      </x:c>
      <x:c r="AF164" s="199" t="str">
        <x:f>IF(AD164="","",AD164-AE164)</x:f>
      </x:c>
    </x:row>
    <x:row r="165">
      <x:c r="A165" s="192"/>
      <x:c r="B165" s="193"/>
      <x:c r="C165" s="193"/>
      <x:c r="D165" s="194"/>
      <x:c r="E165" s="194"/>
      <x:c r="F165" s="194"/>
      <x:c r="G165" s="194"/>
      <x:c r="H165" s="194"/>
      <x:c r="I165" s="194"/>
      <x:c r="J165" s="194"/>
      <x:c r="K165" s="194"/>
      <x:c r="L165" s="194"/>
      <x:c r="M165" s="195"/>
      <x:c r="N165" s="195"/>
      <x:c r="O165" s="195"/>
      <x:c r="P165" s="195"/>
      <x:c r="Q165" s="195"/>
      <x:c r="R165" s="195"/>
      <x:c r="S165" s="196" t="str">
        <x:f>IF(OR(M165="",N165="",Q165="",M165=0),"",ABS((M165-N165)/M165*Q165))</x:f>
      </x:c>
      <x:c r="T165" s="196" t="str">
        <x:f>IF(OR(M165="",N165="",O165="",M165=N165),"",ABS((O165-M165)/(M165-N165)))</x:f>
      </x:c>
      <x:c r="U165" s="195"/>
      <x:c r="V165" s="196" t="str">
        <x:f>IF(U165&lt;&gt;"",U165,IF(OR(P165="",M165="",Q165="",E165=""),"",IF(E165="做多",(P165-M165)/M165*Q165-R165,(M165-P165)/M165*Q165-R165)))</x:f>
      </x:c>
      <x:c r="W165" s="197" t="str">
        <x:f>IF(OR(V165="",S165="",S165=0),"",V165/S165)</x:f>
      </x:c>
      <x:c r="X165" s="198" t="str">
        <x:f>IF(V165="","",IF(V165&gt;0,"Win",IF(V165&lt;0,"Loss","BE")))</x:f>
      </x:c>
      <x:c r="Y165" s="194"/>
      <x:c r="Z165" s="194"/>
      <x:c r="AA165" s="194"/>
      <x:c r="AB165" s="194"/>
      <x:c r="AC165" s="194"/>
      <x:c r="AD165" s="196" t="str">
        <x:f>IF(A165="","",SUM($V$4:V165))</x:f>
      </x:c>
      <x:c r="AE165" s="196" t="str">
        <x:f>IF(AD165="","",MAX(0,$AD$4:AD165))</x:f>
      </x:c>
      <x:c r="AF165" s="199" t="str">
        <x:f>IF(AD165="","",AD165-AE165)</x:f>
      </x:c>
    </x:row>
    <x:row r="166">
      <x:c r="A166" s="192"/>
      <x:c r="B166" s="193"/>
      <x:c r="C166" s="193"/>
      <x:c r="D166" s="194"/>
      <x:c r="E166" s="194"/>
      <x:c r="F166" s="194"/>
      <x:c r="G166" s="194"/>
      <x:c r="H166" s="194"/>
      <x:c r="I166" s="194"/>
      <x:c r="J166" s="194"/>
      <x:c r="K166" s="194"/>
      <x:c r="L166" s="194"/>
      <x:c r="M166" s="195"/>
      <x:c r="N166" s="195"/>
      <x:c r="O166" s="195"/>
      <x:c r="P166" s="195"/>
      <x:c r="Q166" s="195"/>
      <x:c r="R166" s="195"/>
      <x:c r="S166" s="196" t="str">
        <x:f>IF(OR(M166="",N166="",Q166="",M166=0),"",ABS((M166-N166)/M166*Q166))</x:f>
      </x:c>
      <x:c r="T166" s="196" t="str">
        <x:f>IF(OR(M166="",N166="",O166="",M166=N166),"",ABS((O166-M166)/(M166-N166)))</x:f>
      </x:c>
      <x:c r="U166" s="195"/>
      <x:c r="V166" s="196" t="str">
        <x:f>IF(U166&lt;&gt;"",U166,IF(OR(P166="",M166="",Q166="",E166=""),"",IF(E166="做多",(P166-M166)/M166*Q166-R166,(M166-P166)/M166*Q166-R166)))</x:f>
      </x:c>
      <x:c r="W166" s="197" t="str">
        <x:f>IF(OR(V166="",S166="",S166=0),"",V166/S166)</x:f>
      </x:c>
      <x:c r="X166" s="198" t="str">
        <x:f>IF(V166="","",IF(V166&gt;0,"Win",IF(V166&lt;0,"Loss","BE")))</x:f>
      </x:c>
      <x:c r="Y166" s="194"/>
      <x:c r="Z166" s="194"/>
      <x:c r="AA166" s="194"/>
      <x:c r="AB166" s="194"/>
      <x:c r="AC166" s="194"/>
      <x:c r="AD166" s="196" t="str">
        <x:f>IF(A166="","",SUM($V$4:V166))</x:f>
      </x:c>
      <x:c r="AE166" s="196" t="str">
        <x:f>IF(AD166="","",MAX(0,$AD$4:AD166))</x:f>
      </x:c>
      <x:c r="AF166" s="199" t="str">
        <x:f>IF(AD166="","",AD166-AE166)</x:f>
      </x:c>
    </x:row>
    <x:row r="167">
      <x:c r="A167" s="192"/>
      <x:c r="B167" s="193"/>
      <x:c r="C167" s="193"/>
      <x:c r="D167" s="194"/>
      <x:c r="E167" s="194"/>
      <x:c r="F167" s="194"/>
      <x:c r="G167" s="194"/>
      <x:c r="H167" s="194"/>
      <x:c r="I167" s="194"/>
      <x:c r="J167" s="194"/>
      <x:c r="K167" s="194"/>
      <x:c r="L167" s="194"/>
      <x:c r="M167" s="195"/>
      <x:c r="N167" s="195"/>
      <x:c r="O167" s="195"/>
      <x:c r="P167" s="195"/>
      <x:c r="Q167" s="195"/>
      <x:c r="R167" s="195"/>
      <x:c r="S167" s="196" t="str">
        <x:f>IF(OR(M167="",N167="",Q167="",M167=0),"",ABS((M167-N167)/M167*Q167))</x:f>
      </x:c>
      <x:c r="T167" s="196" t="str">
        <x:f>IF(OR(M167="",N167="",O167="",M167=N167),"",ABS((O167-M167)/(M167-N167)))</x:f>
      </x:c>
      <x:c r="U167" s="195"/>
      <x:c r="V167" s="196" t="str">
        <x:f>IF(U167&lt;&gt;"",U167,IF(OR(P167="",M167="",Q167="",E167=""),"",IF(E167="做多",(P167-M167)/M167*Q167-R167,(M167-P167)/M167*Q167-R167)))</x:f>
      </x:c>
      <x:c r="W167" s="197" t="str">
        <x:f>IF(OR(V167="",S167="",S167=0),"",V167/S167)</x:f>
      </x:c>
      <x:c r="X167" s="198" t="str">
        <x:f>IF(V167="","",IF(V167&gt;0,"Win",IF(V167&lt;0,"Loss","BE")))</x:f>
      </x:c>
      <x:c r="Y167" s="194"/>
      <x:c r="Z167" s="194"/>
      <x:c r="AA167" s="194"/>
      <x:c r="AB167" s="194"/>
      <x:c r="AC167" s="194"/>
      <x:c r="AD167" s="196" t="str">
        <x:f>IF(A167="","",SUM($V$4:V167))</x:f>
      </x:c>
      <x:c r="AE167" s="196" t="str">
        <x:f>IF(AD167="","",MAX(0,$AD$4:AD167))</x:f>
      </x:c>
      <x:c r="AF167" s="199" t="str">
        <x:f>IF(AD167="","",AD167-AE167)</x:f>
      </x:c>
    </x:row>
    <x:row r="168">
      <x:c r="A168" s="192"/>
      <x:c r="B168" s="193"/>
      <x:c r="C168" s="193"/>
      <x:c r="D168" s="194"/>
      <x:c r="E168" s="194"/>
      <x:c r="F168" s="194"/>
      <x:c r="G168" s="194"/>
      <x:c r="H168" s="194"/>
      <x:c r="I168" s="194"/>
      <x:c r="J168" s="194"/>
      <x:c r="K168" s="194"/>
      <x:c r="L168" s="194"/>
      <x:c r="M168" s="195"/>
      <x:c r="N168" s="195"/>
      <x:c r="O168" s="195"/>
      <x:c r="P168" s="195"/>
      <x:c r="Q168" s="195"/>
      <x:c r="R168" s="195"/>
      <x:c r="S168" s="196" t="str">
        <x:f>IF(OR(M168="",N168="",Q168="",M168=0),"",ABS((M168-N168)/M168*Q168))</x:f>
      </x:c>
      <x:c r="T168" s="196" t="str">
        <x:f>IF(OR(M168="",N168="",O168="",M168=N168),"",ABS((O168-M168)/(M168-N168)))</x:f>
      </x:c>
      <x:c r="U168" s="195"/>
      <x:c r="V168" s="196" t="str">
        <x:f>IF(U168&lt;&gt;"",U168,IF(OR(P168="",M168="",Q168="",E168=""),"",IF(E168="做多",(P168-M168)/M168*Q168-R168,(M168-P168)/M168*Q168-R168)))</x:f>
      </x:c>
      <x:c r="W168" s="197" t="str">
        <x:f>IF(OR(V168="",S168="",S168=0),"",V168/S168)</x:f>
      </x:c>
      <x:c r="X168" s="198" t="str">
        <x:f>IF(V168="","",IF(V168&gt;0,"Win",IF(V168&lt;0,"Loss","BE")))</x:f>
      </x:c>
      <x:c r="Y168" s="194"/>
      <x:c r="Z168" s="194"/>
      <x:c r="AA168" s="194"/>
      <x:c r="AB168" s="194"/>
      <x:c r="AC168" s="194"/>
      <x:c r="AD168" s="196" t="str">
        <x:f>IF(A168="","",SUM($V$4:V168))</x:f>
      </x:c>
      <x:c r="AE168" s="196" t="str">
        <x:f>IF(AD168="","",MAX(0,$AD$4:AD168))</x:f>
      </x:c>
      <x:c r="AF168" s="199" t="str">
        <x:f>IF(AD168="","",AD168-AE168)</x:f>
      </x:c>
    </x:row>
    <x:row r="169">
      <x:c r="A169" s="192"/>
      <x:c r="B169" s="193"/>
      <x:c r="C169" s="193"/>
      <x:c r="D169" s="194"/>
      <x:c r="E169" s="194"/>
      <x:c r="F169" s="194"/>
      <x:c r="G169" s="194"/>
      <x:c r="H169" s="194"/>
      <x:c r="I169" s="194"/>
      <x:c r="J169" s="194"/>
      <x:c r="K169" s="194"/>
      <x:c r="L169" s="194"/>
      <x:c r="M169" s="195"/>
      <x:c r="N169" s="195"/>
      <x:c r="O169" s="195"/>
      <x:c r="P169" s="195"/>
      <x:c r="Q169" s="195"/>
      <x:c r="R169" s="195"/>
      <x:c r="S169" s="196" t="str">
        <x:f>IF(OR(M169="",N169="",Q169="",M169=0),"",ABS((M169-N169)/M169*Q169))</x:f>
      </x:c>
      <x:c r="T169" s="196" t="str">
        <x:f>IF(OR(M169="",N169="",O169="",M169=N169),"",ABS((O169-M169)/(M169-N169)))</x:f>
      </x:c>
      <x:c r="U169" s="195"/>
      <x:c r="V169" s="196" t="str">
        <x:f>IF(U169&lt;&gt;"",U169,IF(OR(P169="",M169="",Q169="",E169=""),"",IF(E169="做多",(P169-M169)/M169*Q169-R169,(M169-P169)/M169*Q169-R169)))</x:f>
      </x:c>
      <x:c r="W169" s="197" t="str">
        <x:f>IF(OR(V169="",S169="",S169=0),"",V169/S169)</x:f>
      </x:c>
      <x:c r="X169" s="198" t="str">
        <x:f>IF(V169="","",IF(V169&gt;0,"Win",IF(V169&lt;0,"Loss","BE")))</x:f>
      </x:c>
      <x:c r="Y169" s="194"/>
      <x:c r="Z169" s="194"/>
      <x:c r="AA169" s="194"/>
      <x:c r="AB169" s="194"/>
      <x:c r="AC169" s="194"/>
      <x:c r="AD169" s="196" t="str">
        <x:f>IF(A169="","",SUM($V$4:V169))</x:f>
      </x:c>
      <x:c r="AE169" s="196" t="str">
        <x:f>IF(AD169="","",MAX(0,$AD$4:AD169))</x:f>
      </x:c>
      <x:c r="AF169" s="199" t="str">
        <x:f>IF(AD169="","",AD169-AE169)</x:f>
      </x:c>
    </x:row>
    <x:row r="170">
      <x:c r="A170" s="192"/>
      <x:c r="B170" s="193"/>
      <x:c r="C170" s="193"/>
      <x:c r="D170" s="194"/>
      <x:c r="E170" s="194"/>
      <x:c r="F170" s="194"/>
      <x:c r="G170" s="194"/>
      <x:c r="H170" s="194"/>
      <x:c r="I170" s="194"/>
      <x:c r="J170" s="194"/>
      <x:c r="K170" s="194"/>
      <x:c r="L170" s="194"/>
      <x:c r="M170" s="195"/>
      <x:c r="N170" s="195"/>
      <x:c r="O170" s="195"/>
      <x:c r="P170" s="195"/>
      <x:c r="Q170" s="195"/>
      <x:c r="R170" s="195"/>
      <x:c r="S170" s="196" t="str">
        <x:f>IF(OR(M170="",N170="",Q170="",M170=0),"",ABS((M170-N170)/M170*Q170))</x:f>
      </x:c>
      <x:c r="T170" s="196" t="str">
        <x:f>IF(OR(M170="",N170="",O170="",M170=N170),"",ABS((O170-M170)/(M170-N170)))</x:f>
      </x:c>
      <x:c r="U170" s="195"/>
      <x:c r="V170" s="196" t="str">
        <x:f>IF(U170&lt;&gt;"",U170,IF(OR(P170="",M170="",Q170="",E170=""),"",IF(E170="做多",(P170-M170)/M170*Q170-R170,(M170-P170)/M170*Q170-R170)))</x:f>
      </x:c>
      <x:c r="W170" s="197" t="str">
        <x:f>IF(OR(V170="",S170="",S170=0),"",V170/S170)</x:f>
      </x:c>
      <x:c r="X170" s="198" t="str">
        <x:f>IF(V170="","",IF(V170&gt;0,"Win",IF(V170&lt;0,"Loss","BE")))</x:f>
      </x:c>
      <x:c r="Y170" s="194"/>
      <x:c r="Z170" s="194"/>
      <x:c r="AA170" s="194"/>
      <x:c r="AB170" s="194"/>
      <x:c r="AC170" s="194"/>
      <x:c r="AD170" s="196" t="str">
        <x:f>IF(A170="","",SUM($V$4:V170))</x:f>
      </x:c>
      <x:c r="AE170" s="196" t="str">
        <x:f>IF(AD170="","",MAX(0,$AD$4:AD170))</x:f>
      </x:c>
      <x:c r="AF170" s="199" t="str">
        <x:f>IF(AD170="","",AD170-AE170)</x:f>
      </x:c>
    </x:row>
    <x:row r="171">
      <x:c r="A171" s="192"/>
      <x:c r="B171" s="193"/>
      <x:c r="C171" s="193"/>
      <x:c r="D171" s="194"/>
      <x:c r="E171" s="194"/>
      <x:c r="F171" s="194"/>
      <x:c r="G171" s="194"/>
      <x:c r="H171" s="194"/>
      <x:c r="I171" s="194"/>
      <x:c r="J171" s="194"/>
      <x:c r="K171" s="194"/>
      <x:c r="L171" s="194"/>
      <x:c r="M171" s="195"/>
      <x:c r="N171" s="195"/>
      <x:c r="O171" s="195"/>
      <x:c r="P171" s="195"/>
      <x:c r="Q171" s="195"/>
      <x:c r="R171" s="195"/>
      <x:c r="S171" s="196" t="str">
        <x:f>IF(OR(M171="",N171="",Q171="",M171=0),"",ABS((M171-N171)/M171*Q171))</x:f>
      </x:c>
      <x:c r="T171" s="196" t="str">
        <x:f>IF(OR(M171="",N171="",O171="",M171=N171),"",ABS((O171-M171)/(M171-N171)))</x:f>
      </x:c>
      <x:c r="U171" s="195"/>
      <x:c r="V171" s="196" t="str">
        <x:f>IF(U171&lt;&gt;"",U171,IF(OR(P171="",M171="",Q171="",E171=""),"",IF(E171="做多",(P171-M171)/M171*Q171-R171,(M171-P171)/M171*Q171-R171)))</x:f>
      </x:c>
      <x:c r="W171" s="197" t="str">
        <x:f>IF(OR(V171="",S171="",S171=0),"",V171/S171)</x:f>
      </x:c>
      <x:c r="X171" s="198" t="str">
        <x:f>IF(V171="","",IF(V171&gt;0,"Win",IF(V171&lt;0,"Loss","BE")))</x:f>
      </x:c>
      <x:c r="Y171" s="194"/>
      <x:c r="Z171" s="194"/>
      <x:c r="AA171" s="194"/>
      <x:c r="AB171" s="194"/>
      <x:c r="AC171" s="194"/>
      <x:c r="AD171" s="196" t="str">
        <x:f>IF(A171="","",SUM($V$4:V171))</x:f>
      </x:c>
      <x:c r="AE171" s="196" t="str">
        <x:f>IF(AD171="","",MAX(0,$AD$4:AD171))</x:f>
      </x:c>
      <x:c r="AF171" s="199" t="str">
        <x:f>IF(AD171="","",AD171-AE171)</x:f>
      </x:c>
    </x:row>
    <x:row r="172">
      <x:c r="A172" s="192"/>
      <x:c r="B172" s="193"/>
      <x:c r="C172" s="193"/>
      <x:c r="D172" s="194"/>
      <x:c r="E172" s="194"/>
      <x:c r="F172" s="194"/>
      <x:c r="G172" s="194"/>
      <x:c r="H172" s="194"/>
      <x:c r="I172" s="194"/>
      <x:c r="J172" s="194"/>
      <x:c r="K172" s="194"/>
      <x:c r="L172" s="194"/>
      <x:c r="M172" s="195"/>
      <x:c r="N172" s="195"/>
      <x:c r="O172" s="195"/>
      <x:c r="P172" s="195"/>
      <x:c r="Q172" s="195"/>
      <x:c r="R172" s="195"/>
      <x:c r="S172" s="196" t="str">
        <x:f>IF(OR(M172="",N172="",Q172="",M172=0),"",ABS((M172-N172)/M172*Q172))</x:f>
      </x:c>
      <x:c r="T172" s="196" t="str">
        <x:f>IF(OR(M172="",N172="",O172="",M172=N172),"",ABS((O172-M172)/(M172-N172)))</x:f>
      </x:c>
      <x:c r="U172" s="195"/>
      <x:c r="V172" s="196" t="str">
        <x:f>IF(U172&lt;&gt;"",U172,IF(OR(P172="",M172="",Q172="",E172=""),"",IF(E172="做多",(P172-M172)/M172*Q172-R172,(M172-P172)/M172*Q172-R172)))</x:f>
      </x:c>
      <x:c r="W172" s="197" t="str">
        <x:f>IF(OR(V172="",S172="",S172=0),"",V172/S172)</x:f>
      </x:c>
      <x:c r="X172" s="198" t="str">
        <x:f>IF(V172="","",IF(V172&gt;0,"Win",IF(V172&lt;0,"Loss","BE")))</x:f>
      </x:c>
      <x:c r="Y172" s="194"/>
      <x:c r="Z172" s="194"/>
      <x:c r="AA172" s="194"/>
      <x:c r="AB172" s="194"/>
      <x:c r="AC172" s="194"/>
      <x:c r="AD172" s="196" t="str">
        <x:f>IF(A172="","",SUM($V$4:V172))</x:f>
      </x:c>
      <x:c r="AE172" s="196" t="str">
        <x:f>IF(AD172="","",MAX(0,$AD$4:AD172))</x:f>
      </x:c>
      <x:c r="AF172" s="199" t="str">
        <x:f>IF(AD172="","",AD172-AE172)</x:f>
      </x:c>
    </x:row>
    <x:row r="173">
      <x:c r="A173" s="192"/>
      <x:c r="B173" s="193"/>
      <x:c r="C173" s="193"/>
      <x:c r="D173" s="194"/>
      <x:c r="E173" s="194"/>
      <x:c r="F173" s="194"/>
      <x:c r="G173" s="194"/>
      <x:c r="H173" s="194"/>
      <x:c r="I173" s="194"/>
      <x:c r="J173" s="194"/>
      <x:c r="K173" s="194"/>
      <x:c r="L173" s="194"/>
      <x:c r="M173" s="195"/>
      <x:c r="N173" s="195"/>
      <x:c r="O173" s="195"/>
      <x:c r="P173" s="195"/>
      <x:c r="Q173" s="195"/>
      <x:c r="R173" s="195"/>
      <x:c r="S173" s="196" t="str">
        <x:f>IF(OR(M173="",N173="",Q173="",M173=0),"",ABS((M173-N173)/M173*Q173))</x:f>
      </x:c>
      <x:c r="T173" s="196" t="str">
        <x:f>IF(OR(M173="",N173="",O173="",M173=N173),"",ABS((O173-M173)/(M173-N173)))</x:f>
      </x:c>
      <x:c r="U173" s="195"/>
      <x:c r="V173" s="196" t="str">
        <x:f>IF(U173&lt;&gt;"",U173,IF(OR(P173="",M173="",Q173="",E173=""),"",IF(E173="做多",(P173-M173)/M173*Q173-R173,(M173-P173)/M173*Q173-R173)))</x:f>
      </x:c>
      <x:c r="W173" s="197" t="str">
        <x:f>IF(OR(V173="",S173="",S173=0),"",V173/S173)</x:f>
      </x:c>
      <x:c r="X173" s="198" t="str">
        <x:f>IF(V173="","",IF(V173&gt;0,"Win",IF(V173&lt;0,"Loss","BE")))</x:f>
      </x:c>
      <x:c r="Y173" s="194"/>
      <x:c r="Z173" s="194"/>
      <x:c r="AA173" s="194"/>
      <x:c r="AB173" s="194"/>
      <x:c r="AC173" s="194"/>
      <x:c r="AD173" s="196" t="str">
        <x:f>IF(A173="","",SUM($V$4:V173))</x:f>
      </x:c>
      <x:c r="AE173" s="196" t="str">
        <x:f>IF(AD173="","",MAX(0,$AD$4:AD173))</x:f>
      </x:c>
      <x:c r="AF173" s="199" t="str">
        <x:f>IF(AD173="","",AD173-AE173)</x:f>
      </x:c>
    </x:row>
    <x:row r="174">
      <x:c r="A174" s="192"/>
      <x:c r="B174" s="193"/>
      <x:c r="C174" s="193"/>
      <x:c r="D174" s="194"/>
      <x:c r="E174" s="194"/>
      <x:c r="F174" s="194"/>
      <x:c r="G174" s="194"/>
      <x:c r="H174" s="194"/>
      <x:c r="I174" s="194"/>
      <x:c r="J174" s="194"/>
      <x:c r="K174" s="194"/>
      <x:c r="L174" s="194"/>
      <x:c r="M174" s="195"/>
      <x:c r="N174" s="195"/>
      <x:c r="O174" s="195"/>
      <x:c r="P174" s="195"/>
      <x:c r="Q174" s="195"/>
      <x:c r="R174" s="195"/>
      <x:c r="S174" s="196" t="str">
        <x:f>IF(OR(M174="",N174="",Q174="",M174=0),"",ABS((M174-N174)/M174*Q174))</x:f>
      </x:c>
      <x:c r="T174" s="196" t="str">
        <x:f>IF(OR(M174="",N174="",O174="",M174=N174),"",ABS((O174-M174)/(M174-N174)))</x:f>
      </x:c>
      <x:c r="U174" s="195"/>
      <x:c r="V174" s="196" t="str">
        <x:f>IF(U174&lt;&gt;"",U174,IF(OR(P174="",M174="",Q174="",E174=""),"",IF(E174="做多",(P174-M174)/M174*Q174-R174,(M174-P174)/M174*Q174-R174)))</x:f>
      </x:c>
      <x:c r="W174" s="197" t="str">
        <x:f>IF(OR(V174="",S174="",S174=0),"",V174/S174)</x:f>
      </x:c>
      <x:c r="X174" s="198" t="str">
        <x:f>IF(V174="","",IF(V174&gt;0,"Win",IF(V174&lt;0,"Loss","BE")))</x:f>
      </x:c>
      <x:c r="Y174" s="194"/>
      <x:c r="Z174" s="194"/>
      <x:c r="AA174" s="194"/>
      <x:c r="AB174" s="194"/>
      <x:c r="AC174" s="194"/>
      <x:c r="AD174" s="196" t="str">
        <x:f>IF(A174="","",SUM($V$4:V174))</x:f>
      </x:c>
      <x:c r="AE174" s="196" t="str">
        <x:f>IF(AD174="","",MAX(0,$AD$4:AD174))</x:f>
      </x:c>
      <x:c r="AF174" s="199" t="str">
        <x:f>IF(AD174="","",AD174-AE174)</x:f>
      </x:c>
    </x:row>
    <x:row r="175">
      <x:c r="A175" s="192"/>
      <x:c r="B175" s="193"/>
      <x:c r="C175" s="193"/>
      <x:c r="D175" s="194"/>
      <x:c r="E175" s="194"/>
      <x:c r="F175" s="194"/>
      <x:c r="G175" s="194"/>
      <x:c r="H175" s="194"/>
      <x:c r="I175" s="194"/>
      <x:c r="J175" s="194"/>
      <x:c r="K175" s="194"/>
      <x:c r="L175" s="194"/>
      <x:c r="M175" s="195"/>
      <x:c r="N175" s="195"/>
      <x:c r="O175" s="195"/>
      <x:c r="P175" s="195"/>
      <x:c r="Q175" s="195"/>
      <x:c r="R175" s="195"/>
      <x:c r="S175" s="196" t="str">
        <x:f>IF(OR(M175="",N175="",Q175="",M175=0),"",ABS((M175-N175)/M175*Q175))</x:f>
      </x:c>
      <x:c r="T175" s="196" t="str">
        <x:f>IF(OR(M175="",N175="",O175="",M175=N175),"",ABS((O175-M175)/(M175-N175)))</x:f>
      </x:c>
      <x:c r="U175" s="195"/>
      <x:c r="V175" s="196" t="str">
        <x:f>IF(U175&lt;&gt;"",U175,IF(OR(P175="",M175="",Q175="",E175=""),"",IF(E175="做多",(P175-M175)/M175*Q175-R175,(M175-P175)/M175*Q175-R175)))</x:f>
      </x:c>
      <x:c r="W175" s="197" t="str">
        <x:f>IF(OR(V175="",S175="",S175=0),"",V175/S175)</x:f>
      </x:c>
      <x:c r="X175" s="198" t="str">
        <x:f>IF(V175="","",IF(V175&gt;0,"Win",IF(V175&lt;0,"Loss","BE")))</x:f>
      </x:c>
      <x:c r="Y175" s="194"/>
      <x:c r="Z175" s="194"/>
      <x:c r="AA175" s="194"/>
      <x:c r="AB175" s="194"/>
      <x:c r="AC175" s="194"/>
      <x:c r="AD175" s="196" t="str">
        <x:f>IF(A175="","",SUM($V$4:V175))</x:f>
      </x:c>
      <x:c r="AE175" s="196" t="str">
        <x:f>IF(AD175="","",MAX(0,$AD$4:AD175))</x:f>
      </x:c>
      <x:c r="AF175" s="199" t="str">
        <x:f>IF(AD175="","",AD175-AE175)</x:f>
      </x:c>
    </x:row>
    <x:row r="176">
      <x:c r="A176" s="192"/>
      <x:c r="B176" s="193"/>
      <x:c r="C176" s="193"/>
      <x:c r="D176" s="194"/>
      <x:c r="E176" s="194"/>
      <x:c r="F176" s="194"/>
      <x:c r="G176" s="194"/>
      <x:c r="H176" s="194"/>
      <x:c r="I176" s="194"/>
      <x:c r="J176" s="194"/>
      <x:c r="K176" s="194"/>
      <x:c r="L176" s="194"/>
      <x:c r="M176" s="195"/>
      <x:c r="N176" s="195"/>
      <x:c r="O176" s="195"/>
      <x:c r="P176" s="195"/>
      <x:c r="Q176" s="195"/>
      <x:c r="R176" s="195"/>
      <x:c r="S176" s="196" t="str">
        <x:f>IF(OR(M176="",N176="",Q176="",M176=0),"",ABS((M176-N176)/M176*Q176))</x:f>
      </x:c>
      <x:c r="T176" s="196" t="str">
        <x:f>IF(OR(M176="",N176="",O176="",M176=N176),"",ABS((O176-M176)/(M176-N176)))</x:f>
      </x:c>
      <x:c r="U176" s="195"/>
      <x:c r="V176" s="196" t="str">
        <x:f>IF(U176&lt;&gt;"",U176,IF(OR(P176="",M176="",Q176="",E176=""),"",IF(E176="做多",(P176-M176)/M176*Q176-R176,(M176-P176)/M176*Q176-R176)))</x:f>
      </x:c>
      <x:c r="W176" s="197" t="str">
        <x:f>IF(OR(V176="",S176="",S176=0),"",V176/S176)</x:f>
      </x:c>
      <x:c r="X176" s="198" t="str">
        <x:f>IF(V176="","",IF(V176&gt;0,"Win",IF(V176&lt;0,"Loss","BE")))</x:f>
      </x:c>
      <x:c r="Y176" s="194"/>
      <x:c r="Z176" s="194"/>
      <x:c r="AA176" s="194"/>
      <x:c r="AB176" s="194"/>
      <x:c r="AC176" s="194"/>
      <x:c r="AD176" s="196" t="str">
        <x:f>IF(A176="","",SUM($V$4:V176))</x:f>
      </x:c>
      <x:c r="AE176" s="196" t="str">
        <x:f>IF(AD176="","",MAX(0,$AD$4:AD176))</x:f>
      </x:c>
      <x:c r="AF176" s="199" t="str">
        <x:f>IF(AD176="","",AD176-AE176)</x:f>
      </x:c>
    </x:row>
    <x:row r="177">
      <x:c r="A177" s="192"/>
      <x:c r="B177" s="193"/>
      <x:c r="C177" s="193"/>
      <x:c r="D177" s="194"/>
      <x:c r="E177" s="194"/>
      <x:c r="F177" s="194"/>
      <x:c r="G177" s="194"/>
      <x:c r="H177" s="194"/>
      <x:c r="I177" s="194"/>
      <x:c r="J177" s="194"/>
      <x:c r="K177" s="194"/>
      <x:c r="L177" s="194"/>
      <x:c r="M177" s="195"/>
      <x:c r="N177" s="195"/>
      <x:c r="O177" s="195"/>
      <x:c r="P177" s="195"/>
      <x:c r="Q177" s="195"/>
      <x:c r="R177" s="195"/>
      <x:c r="S177" s="196" t="str">
        <x:f>IF(OR(M177="",N177="",Q177="",M177=0),"",ABS((M177-N177)/M177*Q177))</x:f>
      </x:c>
      <x:c r="T177" s="196" t="str">
        <x:f>IF(OR(M177="",N177="",O177="",M177=N177),"",ABS((O177-M177)/(M177-N177)))</x:f>
      </x:c>
      <x:c r="U177" s="195"/>
      <x:c r="V177" s="196" t="str">
        <x:f>IF(U177&lt;&gt;"",U177,IF(OR(P177="",M177="",Q177="",E177=""),"",IF(E177="做多",(P177-M177)/M177*Q177-R177,(M177-P177)/M177*Q177-R177)))</x:f>
      </x:c>
      <x:c r="W177" s="197" t="str">
        <x:f>IF(OR(V177="",S177="",S177=0),"",V177/S177)</x:f>
      </x:c>
      <x:c r="X177" s="198" t="str">
        <x:f>IF(V177="","",IF(V177&gt;0,"Win",IF(V177&lt;0,"Loss","BE")))</x:f>
      </x:c>
      <x:c r="Y177" s="194"/>
      <x:c r="Z177" s="194"/>
      <x:c r="AA177" s="194"/>
      <x:c r="AB177" s="194"/>
      <x:c r="AC177" s="194"/>
      <x:c r="AD177" s="196" t="str">
        <x:f>IF(A177="","",SUM($V$4:V177))</x:f>
      </x:c>
      <x:c r="AE177" s="196" t="str">
        <x:f>IF(AD177="","",MAX(0,$AD$4:AD177))</x:f>
      </x:c>
      <x:c r="AF177" s="199" t="str">
        <x:f>IF(AD177="","",AD177-AE177)</x:f>
      </x:c>
    </x:row>
    <x:row r="178">
      <x:c r="A178" s="192"/>
      <x:c r="B178" s="193"/>
      <x:c r="C178" s="193"/>
      <x:c r="D178" s="194"/>
      <x:c r="E178" s="194"/>
      <x:c r="F178" s="194"/>
      <x:c r="G178" s="194"/>
      <x:c r="H178" s="194"/>
      <x:c r="I178" s="194"/>
      <x:c r="J178" s="194"/>
      <x:c r="K178" s="194"/>
      <x:c r="L178" s="194"/>
      <x:c r="M178" s="195"/>
      <x:c r="N178" s="195"/>
      <x:c r="O178" s="195"/>
      <x:c r="P178" s="195"/>
      <x:c r="Q178" s="195"/>
      <x:c r="R178" s="195"/>
      <x:c r="S178" s="196" t="str">
        <x:f>IF(OR(M178="",N178="",Q178="",M178=0),"",ABS((M178-N178)/M178*Q178))</x:f>
      </x:c>
      <x:c r="T178" s="196" t="str">
        <x:f>IF(OR(M178="",N178="",O178="",M178=N178),"",ABS((O178-M178)/(M178-N178)))</x:f>
      </x:c>
      <x:c r="U178" s="195"/>
      <x:c r="V178" s="196" t="str">
        <x:f>IF(U178&lt;&gt;"",U178,IF(OR(P178="",M178="",Q178="",E178=""),"",IF(E178="做多",(P178-M178)/M178*Q178-R178,(M178-P178)/M178*Q178-R178)))</x:f>
      </x:c>
      <x:c r="W178" s="197" t="str">
        <x:f>IF(OR(V178="",S178="",S178=0),"",V178/S178)</x:f>
      </x:c>
      <x:c r="X178" s="198" t="str">
        <x:f>IF(V178="","",IF(V178&gt;0,"Win",IF(V178&lt;0,"Loss","BE")))</x:f>
      </x:c>
      <x:c r="Y178" s="194"/>
      <x:c r="Z178" s="194"/>
      <x:c r="AA178" s="194"/>
      <x:c r="AB178" s="194"/>
      <x:c r="AC178" s="194"/>
      <x:c r="AD178" s="196" t="str">
        <x:f>IF(A178="","",SUM($V$4:V178))</x:f>
      </x:c>
      <x:c r="AE178" s="196" t="str">
        <x:f>IF(AD178="","",MAX(0,$AD$4:AD178))</x:f>
      </x:c>
      <x:c r="AF178" s="199" t="str">
        <x:f>IF(AD178="","",AD178-AE178)</x:f>
      </x:c>
    </x:row>
    <x:row r="179">
      <x:c r="A179" s="192"/>
      <x:c r="B179" s="193"/>
      <x:c r="C179" s="193"/>
      <x:c r="D179" s="194"/>
      <x:c r="E179" s="194"/>
      <x:c r="F179" s="194"/>
      <x:c r="G179" s="194"/>
      <x:c r="H179" s="194"/>
      <x:c r="I179" s="194"/>
      <x:c r="J179" s="194"/>
      <x:c r="K179" s="194"/>
      <x:c r="L179" s="194"/>
      <x:c r="M179" s="195"/>
      <x:c r="N179" s="195"/>
      <x:c r="O179" s="195"/>
      <x:c r="P179" s="195"/>
      <x:c r="Q179" s="195"/>
      <x:c r="R179" s="195"/>
      <x:c r="S179" s="196" t="str">
        <x:f>IF(OR(M179="",N179="",Q179="",M179=0),"",ABS((M179-N179)/M179*Q179))</x:f>
      </x:c>
      <x:c r="T179" s="196" t="str">
        <x:f>IF(OR(M179="",N179="",O179="",M179=N179),"",ABS((O179-M179)/(M179-N179)))</x:f>
      </x:c>
      <x:c r="U179" s="195"/>
      <x:c r="V179" s="196" t="str">
        <x:f>IF(U179&lt;&gt;"",U179,IF(OR(P179="",M179="",Q179="",E179=""),"",IF(E179="做多",(P179-M179)/M179*Q179-R179,(M179-P179)/M179*Q179-R179)))</x:f>
      </x:c>
      <x:c r="W179" s="197" t="str">
        <x:f>IF(OR(V179="",S179="",S179=0),"",V179/S179)</x:f>
      </x:c>
      <x:c r="X179" s="198" t="str">
        <x:f>IF(V179="","",IF(V179&gt;0,"Win",IF(V179&lt;0,"Loss","BE")))</x:f>
      </x:c>
      <x:c r="Y179" s="194"/>
      <x:c r="Z179" s="194"/>
      <x:c r="AA179" s="194"/>
      <x:c r="AB179" s="194"/>
      <x:c r="AC179" s="194"/>
      <x:c r="AD179" s="196" t="str">
        <x:f>IF(A179="","",SUM($V$4:V179))</x:f>
      </x:c>
      <x:c r="AE179" s="196" t="str">
        <x:f>IF(AD179="","",MAX(0,$AD$4:AD179))</x:f>
      </x:c>
      <x:c r="AF179" s="199" t="str">
        <x:f>IF(AD179="","",AD179-AE179)</x:f>
      </x:c>
    </x:row>
    <x:row r="180">
      <x:c r="A180" s="192"/>
      <x:c r="B180" s="193"/>
      <x:c r="C180" s="193"/>
      <x:c r="D180" s="194"/>
      <x:c r="E180" s="194"/>
      <x:c r="F180" s="194"/>
      <x:c r="G180" s="194"/>
      <x:c r="H180" s="194"/>
      <x:c r="I180" s="194"/>
      <x:c r="J180" s="194"/>
      <x:c r="K180" s="194"/>
      <x:c r="L180" s="194"/>
      <x:c r="M180" s="195"/>
      <x:c r="N180" s="195"/>
      <x:c r="O180" s="195"/>
      <x:c r="P180" s="195"/>
      <x:c r="Q180" s="195"/>
      <x:c r="R180" s="195"/>
      <x:c r="S180" s="196" t="str">
        <x:f>IF(OR(M180="",N180="",Q180="",M180=0),"",ABS((M180-N180)/M180*Q180))</x:f>
      </x:c>
      <x:c r="T180" s="196" t="str">
        <x:f>IF(OR(M180="",N180="",O180="",M180=N180),"",ABS((O180-M180)/(M180-N180)))</x:f>
      </x:c>
      <x:c r="U180" s="195"/>
      <x:c r="V180" s="196" t="str">
        <x:f>IF(U180&lt;&gt;"",U180,IF(OR(P180="",M180="",Q180="",E180=""),"",IF(E180="做多",(P180-M180)/M180*Q180-R180,(M180-P180)/M180*Q180-R180)))</x:f>
      </x:c>
      <x:c r="W180" s="197" t="str">
        <x:f>IF(OR(V180="",S180="",S180=0),"",V180/S180)</x:f>
      </x:c>
      <x:c r="X180" s="198" t="str">
        <x:f>IF(V180="","",IF(V180&gt;0,"Win",IF(V180&lt;0,"Loss","BE")))</x:f>
      </x:c>
      <x:c r="Y180" s="194"/>
      <x:c r="Z180" s="194"/>
      <x:c r="AA180" s="194"/>
      <x:c r="AB180" s="194"/>
      <x:c r="AC180" s="194"/>
      <x:c r="AD180" s="196" t="str">
        <x:f>IF(A180="","",SUM($V$4:V180))</x:f>
      </x:c>
      <x:c r="AE180" s="196" t="str">
        <x:f>IF(AD180="","",MAX(0,$AD$4:AD180))</x:f>
      </x:c>
      <x:c r="AF180" s="199" t="str">
        <x:f>IF(AD180="","",AD180-AE180)</x:f>
      </x:c>
    </x:row>
    <x:row r="181">
      <x:c r="A181" s="192"/>
      <x:c r="B181" s="193"/>
      <x:c r="C181" s="193"/>
      <x:c r="D181" s="194"/>
      <x:c r="E181" s="194"/>
      <x:c r="F181" s="194"/>
      <x:c r="G181" s="194"/>
      <x:c r="H181" s="194"/>
      <x:c r="I181" s="194"/>
      <x:c r="J181" s="194"/>
      <x:c r="K181" s="194"/>
      <x:c r="L181" s="194"/>
      <x:c r="M181" s="195"/>
      <x:c r="N181" s="195"/>
      <x:c r="O181" s="195"/>
      <x:c r="P181" s="195"/>
      <x:c r="Q181" s="195"/>
      <x:c r="R181" s="195"/>
      <x:c r="S181" s="196" t="str">
        <x:f>IF(OR(M181="",N181="",Q181="",M181=0),"",ABS((M181-N181)/M181*Q181))</x:f>
      </x:c>
      <x:c r="T181" s="196" t="str">
        <x:f>IF(OR(M181="",N181="",O181="",M181=N181),"",ABS((O181-M181)/(M181-N181)))</x:f>
      </x:c>
      <x:c r="U181" s="195"/>
      <x:c r="V181" s="196" t="str">
        <x:f>IF(U181&lt;&gt;"",U181,IF(OR(P181="",M181="",Q181="",E181=""),"",IF(E181="做多",(P181-M181)/M181*Q181-R181,(M181-P181)/M181*Q181-R181)))</x:f>
      </x:c>
      <x:c r="W181" s="197" t="str">
        <x:f>IF(OR(V181="",S181="",S181=0),"",V181/S181)</x:f>
      </x:c>
      <x:c r="X181" s="198" t="str">
        <x:f>IF(V181="","",IF(V181&gt;0,"Win",IF(V181&lt;0,"Loss","BE")))</x:f>
      </x:c>
      <x:c r="Y181" s="194"/>
      <x:c r="Z181" s="194"/>
      <x:c r="AA181" s="194"/>
      <x:c r="AB181" s="194"/>
      <x:c r="AC181" s="194"/>
      <x:c r="AD181" s="196" t="str">
        <x:f>IF(A181="","",SUM($V$4:V181))</x:f>
      </x:c>
      <x:c r="AE181" s="196" t="str">
        <x:f>IF(AD181="","",MAX(0,$AD$4:AD181))</x:f>
      </x:c>
      <x:c r="AF181" s="199" t="str">
        <x:f>IF(AD181="","",AD181-AE181)</x:f>
      </x:c>
    </x:row>
    <x:row r="182">
      <x:c r="A182" s="192"/>
      <x:c r="B182" s="193"/>
      <x:c r="C182" s="193"/>
      <x:c r="D182" s="194"/>
      <x:c r="E182" s="194"/>
      <x:c r="F182" s="194"/>
      <x:c r="G182" s="194"/>
      <x:c r="H182" s="194"/>
      <x:c r="I182" s="194"/>
      <x:c r="J182" s="194"/>
      <x:c r="K182" s="194"/>
      <x:c r="L182" s="194"/>
      <x:c r="M182" s="195"/>
      <x:c r="N182" s="195"/>
      <x:c r="O182" s="195"/>
      <x:c r="P182" s="195"/>
      <x:c r="Q182" s="195"/>
      <x:c r="R182" s="195"/>
      <x:c r="S182" s="196" t="str">
        <x:f>IF(OR(M182="",N182="",Q182="",M182=0),"",ABS((M182-N182)/M182*Q182))</x:f>
      </x:c>
      <x:c r="T182" s="196" t="str">
        <x:f>IF(OR(M182="",N182="",O182="",M182=N182),"",ABS((O182-M182)/(M182-N182)))</x:f>
      </x:c>
      <x:c r="U182" s="195"/>
      <x:c r="V182" s="196" t="str">
        <x:f>IF(U182&lt;&gt;"",U182,IF(OR(P182="",M182="",Q182="",E182=""),"",IF(E182="做多",(P182-M182)/M182*Q182-R182,(M182-P182)/M182*Q182-R182)))</x:f>
      </x:c>
      <x:c r="W182" s="197" t="str">
        <x:f>IF(OR(V182="",S182="",S182=0),"",V182/S182)</x:f>
      </x:c>
      <x:c r="X182" s="198" t="str">
        <x:f>IF(V182="","",IF(V182&gt;0,"Win",IF(V182&lt;0,"Loss","BE")))</x:f>
      </x:c>
      <x:c r="Y182" s="194"/>
      <x:c r="Z182" s="194"/>
      <x:c r="AA182" s="194"/>
      <x:c r="AB182" s="194"/>
      <x:c r="AC182" s="194"/>
      <x:c r="AD182" s="196" t="str">
        <x:f>IF(A182="","",SUM($V$4:V182))</x:f>
      </x:c>
      <x:c r="AE182" s="196" t="str">
        <x:f>IF(AD182="","",MAX(0,$AD$4:AD182))</x:f>
      </x:c>
      <x:c r="AF182" s="199" t="str">
        <x:f>IF(AD182="","",AD182-AE182)</x:f>
      </x:c>
    </x:row>
    <x:row r="183">
      <x:c r="A183" s="192"/>
      <x:c r="B183" s="193"/>
      <x:c r="C183" s="193"/>
      <x:c r="D183" s="194"/>
      <x:c r="E183" s="194"/>
      <x:c r="F183" s="194"/>
      <x:c r="G183" s="194"/>
      <x:c r="H183" s="194"/>
      <x:c r="I183" s="194"/>
      <x:c r="J183" s="194"/>
      <x:c r="K183" s="194"/>
      <x:c r="L183" s="194"/>
      <x:c r="M183" s="195"/>
      <x:c r="N183" s="195"/>
      <x:c r="O183" s="195"/>
      <x:c r="P183" s="195"/>
      <x:c r="Q183" s="195"/>
      <x:c r="R183" s="195"/>
      <x:c r="S183" s="196" t="str">
        <x:f>IF(OR(M183="",N183="",Q183="",M183=0),"",ABS((M183-N183)/M183*Q183))</x:f>
      </x:c>
      <x:c r="T183" s="196" t="str">
        <x:f>IF(OR(M183="",N183="",O183="",M183=N183),"",ABS((O183-M183)/(M183-N183)))</x:f>
      </x:c>
      <x:c r="U183" s="195"/>
      <x:c r="V183" s="196" t="str">
        <x:f>IF(U183&lt;&gt;"",U183,IF(OR(P183="",M183="",Q183="",E183=""),"",IF(E183="做多",(P183-M183)/M183*Q183-R183,(M183-P183)/M183*Q183-R183)))</x:f>
      </x:c>
      <x:c r="W183" s="197" t="str">
        <x:f>IF(OR(V183="",S183="",S183=0),"",V183/S183)</x:f>
      </x:c>
      <x:c r="X183" s="198" t="str">
        <x:f>IF(V183="","",IF(V183&gt;0,"Win",IF(V183&lt;0,"Loss","BE")))</x:f>
      </x:c>
      <x:c r="Y183" s="194"/>
      <x:c r="Z183" s="194"/>
      <x:c r="AA183" s="194"/>
      <x:c r="AB183" s="194"/>
      <x:c r="AC183" s="194"/>
      <x:c r="AD183" s="196" t="str">
        <x:f>IF(A183="","",SUM($V$4:V183))</x:f>
      </x:c>
      <x:c r="AE183" s="196" t="str">
        <x:f>IF(AD183="","",MAX(0,$AD$4:AD183))</x:f>
      </x:c>
      <x:c r="AF183" s="199" t="str">
        <x:f>IF(AD183="","",AD183-AE183)</x:f>
      </x:c>
    </x:row>
    <x:row r="184">
      <x:c r="A184" s="192"/>
      <x:c r="B184" s="193"/>
      <x:c r="C184" s="193"/>
      <x:c r="D184" s="194"/>
      <x:c r="E184" s="194"/>
      <x:c r="F184" s="194"/>
      <x:c r="G184" s="194"/>
      <x:c r="H184" s="194"/>
      <x:c r="I184" s="194"/>
      <x:c r="J184" s="194"/>
      <x:c r="K184" s="194"/>
      <x:c r="L184" s="194"/>
      <x:c r="M184" s="195"/>
      <x:c r="N184" s="195"/>
      <x:c r="O184" s="195"/>
      <x:c r="P184" s="195"/>
      <x:c r="Q184" s="195"/>
      <x:c r="R184" s="195"/>
      <x:c r="S184" s="196" t="str">
        <x:f>IF(OR(M184="",N184="",Q184="",M184=0),"",ABS((M184-N184)/M184*Q184))</x:f>
      </x:c>
      <x:c r="T184" s="196" t="str">
        <x:f>IF(OR(M184="",N184="",O184="",M184=N184),"",ABS((O184-M184)/(M184-N184)))</x:f>
      </x:c>
      <x:c r="U184" s="195"/>
      <x:c r="V184" s="196" t="str">
        <x:f>IF(U184&lt;&gt;"",U184,IF(OR(P184="",M184="",Q184="",E184=""),"",IF(E184="做多",(P184-M184)/M184*Q184-R184,(M184-P184)/M184*Q184-R184)))</x:f>
      </x:c>
      <x:c r="W184" s="197" t="str">
        <x:f>IF(OR(V184="",S184="",S184=0),"",V184/S184)</x:f>
      </x:c>
      <x:c r="X184" s="198" t="str">
        <x:f>IF(V184="","",IF(V184&gt;0,"Win",IF(V184&lt;0,"Loss","BE")))</x:f>
      </x:c>
      <x:c r="Y184" s="194"/>
      <x:c r="Z184" s="194"/>
      <x:c r="AA184" s="194"/>
      <x:c r="AB184" s="194"/>
      <x:c r="AC184" s="194"/>
      <x:c r="AD184" s="196" t="str">
        <x:f>IF(A184="","",SUM($V$4:V184))</x:f>
      </x:c>
      <x:c r="AE184" s="196" t="str">
        <x:f>IF(AD184="","",MAX(0,$AD$4:AD184))</x:f>
      </x:c>
      <x:c r="AF184" s="199" t="str">
        <x:f>IF(AD184="","",AD184-AE184)</x:f>
      </x:c>
    </x:row>
    <x:row r="185">
      <x:c r="A185" s="192"/>
      <x:c r="B185" s="193"/>
      <x:c r="C185" s="193"/>
      <x:c r="D185" s="194"/>
      <x:c r="E185" s="194"/>
      <x:c r="F185" s="194"/>
      <x:c r="G185" s="194"/>
      <x:c r="H185" s="194"/>
      <x:c r="I185" s="194"/>
      <x:c r="J185" s="194"/>
      <x:c r="K185" s="194"/>
      <x:c r="L185" s="194"/>
      <x:c r="M185" s="195"/>
      <x:c r="N185" s="195"/>
      <x:c r="O185" s="195"/>
      <x:c r="P185" s="195"/>
      <x:c r="Q185" s="195"/>
      <x:c r="R185" s="195"/>
      <x:c r="S185" s="196" t="str">
        <x:f>IF(OR(M185="",N185="",Q185="",M185=0),"",ABS((M185-N185)/M185*Q185))</x:f>
      </x:c>
      <x:c r="T185" s="196" t="str">
        <x:f>IF(OR(M185="",N185="",O185="",M185=N185),"",ABS((O185-M185)/(M185-N185)))</x:f>
      </x:c>
      <x:c r="U185" s="195"/>
      <x:c r="V185" s="196" t="str">
        <x:f>IF(U185&lt;&gt;"",U185,IF(OR(P185="",M185="",Q185="",E185=""),"",IF(E185="做多",(P185-M185)/M185*Q185-R185,(M185-P185)/M185*Q185-R185)))</x:f>
      </x:c>
      <x:c r="W185" s="197" t="str">
        <x:f>IF(OR(V185="",S185="",S185=0),"",V185/S185)</x:f>
      </x:c>
      <x:c r="X185" s="198" t="str">
        <x:f>IF(V185="","",IF(V185&gt;0,"Win",IF(V185&lt;0,"Loss","BE")))</x:f>
      </x:c>
      <x:c r="Y185" s="194"/>
      <x:c r="Z185" s="194"/>
      <x:c r="AA185" s="194"/>
      <x:c r="AB185" s="194"/>
      <x:c r="AC185" s="194"/>
      <x:c r="AD185" s="196" t="str">
        <x:f>IF(A185="","",SUM($V$4:V185))</x:f>
      </x:c>
      <x:c r="AE185" s="196" t="str">
        <x:f>IF(AD185="","",MAX(0,$AD$4:AD185))</x:f>
      </x:c>
      <x:c r="AF185" s="199" t="str">
        <x:f>IF(AD185="","",AD185-AE185)</x:f>
      </x:c>
    </x:row>
    <x:row r="186">
      <x:c r="A186" s="192"/>
      <x:c r="B186" s="193"/>
      <x:c r="C186" s="193"/>
      <x:c r="D186" s="194"/>
      <x:c r="E186" s="194"/>
      <x:c r="F186" s="194"/>
      <x:c r="G186" s="194"/>
      <x:c r="H186" s="194"/>
      <x:c r="I186" s="194"/>
      <x:c r="J186" s="194"/>
      <x:c r="K186" s="194"/>
      <x:c r="L186" s="194"/>
      <x:c r="M186" s="195"/>
      <x:c r="N186" s="195"/>
      <x:c r="O186" s="195"/>
      <x:c r="P186" s="195"/>
      <x:c r="Q186" s="195"/>
      <x:c r="R186" s="195"/>
      <x:c r="S186" s="196" t="str">
        <x:f>IF(OR(M186="",N186="",Q186="",M186=0),"",ABS((M186-N186)/M186*Q186))</x:f>
      </x:c>
      <x:c r="T186" s="196" t="str">
        <x:f>IF(OR(M186="",N186="",O186="",M186=N186),"",ABS((O186-M186)/(M186-N186)))</x:f>
      </x:c>
      <x:c r="U186" s="195"/>
      <x:c r="V186" s="196" t="str">
        <x:f>IF(U186&lt;&gt;"",U186,IF(OR(P186="",M186="",Q186="",E186=""),"",IF(E186="做多",(P186-M186)/M186*Q186-R186,(M186-P186)/M186*Q186-R186)))</x:f>
      </x:c>
      <x:c r="W186" s="197" t="str">
        <x:f>IF(OR(V186="",S186="",S186=0),"",V186/S186)</x:f>
      </x:c>
      <x:c r="X186" s="198" t="str">
        <x:f>IF(V186="","",IF(V186&gt;0,"Win",IF(V186&lt;0,"Loss","BE")))</x:f>
      </x:c>
      <x:c r="Y186" s="194"/>
      <x:c r="Z186" s="194"/>
      <x:c r="AA186" s="194"/>
      <x:c r="AB186" s="194"/>
      <x:c r="AC186" s="194"/>
      <x:c r="AD186" s="196" t="str">
        <x:f>IF(A186="","",SUM($V$4:V186))</x:f>
      </x:c>
      <x:c r="AE186" s="196" t="str">
        <x:f>IF(AD186="","",MAX(0,$AD$4:AD186))</x:f>
      </x:c>
      <x:c r="AF186" s="199" t="str">
        <x:f>IF(AD186="","",AD186-AE186)</x:f>
      </x:c>
    </x:row>
    <x:row r="187">
      <x:c r="A187" s="192"/>
      <x:c r="B187" s="193"/>
      <x:c r="C187" s="193"/>
      <x:c r="D187" s="194"/>
      <x:c r="E187" s="194"/>
      <x:c r="F187" s="194"/>
      <x:c r="G187" s="194"/>
      <x:c r="H187" s="194"/>
      <x:c r="I187" s="194"/>
      <x:c r="J187" s="194"/>
      <x:c r="K187" s="194"/>
      <x:c r="L187" s="194"/>
      <x:c r="M187" s="195"/>
      <x:c r="N187" s="195"/>
      <x:c r="O187" s="195"/>
      <x:c r="P187" s="195"/>
      <x:c r="Q187" s="195"/>
      <x:c r="R187" s="195"/>
      <x:c r="S187" s="196" t="str">
        <x:f>IF(OR(M187="",N187="",Q187="",M187=0),"",ABS((M187-N187)/M187*Q187))</x:f>
      </x:c>
      <x:c r="T187" s="196" t="str">
        <x:f>IF(OR(M187="",N187="",O187="",M187=N187),"",ABS((O187-M187)/(M187-N187)))</x:f>
      </x:c>
      <x:c r="U187" s="195"/>
      <x:c r="V187" s="196" t="str">
        <x:f>IF(U187&lt;&gt;"",U187,IF(OR(P187="",M187="",Q187="",E187=""),"",IF(E187="做多",(P187-M187)/M187*Q187-R187,(M187-P187)/M187*Q187-R187)))</x:f>
      </x:c>
      <x:c r="W187" s="197" t="str">
        <x:f>IF(OR(V187="",S187="",S187=0),"",V187/S187)</x:f>
      </x:c>
      <x:c r="X187" s="198" t="str">
        <x:f>IF(V187="","",IF(V187&gt;0,"Win",IF(V187&lt;0,"Loss","BE")))</x:f>
      </x:c>
      <x:c r="Y187" s="194"/>
      <x:c r="Z187" s="194"/>
      <x:c r="AA187" s="194"/>
      <x:c r="AB187" s="194"/>
      <x:c r="AC187" s="194"/>
      <x:c r="AD187" s="196" t="str">
        <x:f>IF(A187="","",SUM($V$4:V187))</x:f>
      </x:c>
      <x:c r="AE187" s="196" t="str">
        <x:f>IF(AD187="","",MAX(0,$AD$4:AD187))</x:f>
      </x:c>
      <x:c r="AF187" s="199" t="str">
        <x:f>IF(AD187="","",AD187-AE187)</x:f>
      </x:c>
    </x:row>
    <x:row r="188">
      <x:c r="A188" s="192"/>
      <x:c r="B188" s="193"/>
      <x:c r="C188" s="193"/>
      <x:c r="D188" s="194"/>
      <x:c r="E188" s="194"/>
      <x:c r="F188" s="194"/>
      <x:c r="G188" s="194"/>
      <x:c r="H188" s="194"/>
      <x:c r="I188" s="194"/>
      <x:c r="J188" s="194"/>
      <x:c r="K188" s="194"/>
      <x:c r="L188" s="194"/>
      <x:c r="M188" s="195"/>
      <x:c r="N188" s="195"/>
      <x:c r="O188" s="195"/>
      <x:c r="P188" s="195"/>
      <x:c r="Q188" s="195"/>
      <x:c r="R188" s="195"/>
      <x:c r="S188" s="196" t="str">
        <x:f>IF(OR(M188="",N188="",Q188="",M188=0),"",ABS((M188-N188)/M188*Q188))</x:f>
      </x:c>
      <x:c r="T188" s="196" t="str">
        <x:f>IF(OR(M188="",N188="",O188="",M188=N188),"",ABS((O188-M188)/(M188-N188)))</x:f>
      </x:c>
      <x:c r="U188" s="195"/>
      <x:c r="V188" s="196" t="str">
        <x:f>IF(U188&lt;&gt;"",U188,IF(OR(P188="",M188="",Q188="",E188=""),"",IF(E188="做多",(P188-M188)/M188*Q188-R188,(M188-P188)/M188*Q188-R188)))</x:f>
      </x:c>
      <x:c r="W188" s="197" t="str">
        <x:f>IF(OR(V188="",S188="",S188=0),"",V188/S188)</x:f>
      </x:c>
      <x:c r="X188" s="198" t="str">
        <x:f>IF(V188="","",IF(V188&gt;0,"Win",IF(V188&lt;0,"Loss","BE")))</x:f>
      </x:c>
      <x:c r="Y188" s="194"/>
      <x:c r="Z188" s="194"/>
      <x:c r="AA188" s="194"/>
      <x:c r="AB188" s="194"/>
      <x:c r="AC188" s="194"/>
      <x:c r="AD188" s="196" t="str">
        <x:f>IF(A188="","",SUM($V$4:V188))</x:f>
      </x:c>
      <x:c r="AE188" s="196" t="str">
        <x:f>IF(AD188="","",MAX(0,$AD$4:AD188))</x:f>
      </x:c>
      <x:c r="AF188" s="199" t="str">
        <x:f>IF(AD188="","",AD188-AE188)</x:f>
      </x:c>
    </x:row>
    <x:row r="189">
      <x:c r="A189" s="192"/>
      <x:c r="B189" s="193"/>
      <x:c r="C189" s="193"/>
      <x:c r="D189" s="194"/>
      <x:c r="E189" s="194"/>
      <x:c r="F189" s="194"/>
      <x:c r="G189" s="194"/>
      <x:c r="H189" s="194"/>
      <x:c r="I189" s="194"/>
      <x:c r="J189" s="194"/>
      <x:c r="K189" s="194"/>
      <x:c r="L189" s="194"/>
      <x:c r="M189" s="195"/>
      <x:c r="N189" s="195"/>
      <x:c r="O189" s="195"/>
      <x:c r="P189" s="195"/>
      <x:c r="Q189" s="195"/>
      <x:c r="R189" s="195"/>
      <x:c r="S189" s="196" t="str">
        <x:f>IF(OR(M189="",N189="",Q189="",M189=0),"",ABS((M189-N189)/M189*Q189))</x:f>
      </x:c>
      <x:c r="T189" s="196" t="str">
        <x:f>IF(OR(M189="",N189="",O189="",M189=N189),"",ABS((O189-M189)/(M189-N189)))</x:f>
      </x:c>
      <x:c r="U189" s="195"/>
      <x:c r="V189" s="196" t="str">
        <x:f>IF(U189&lt;&gt;"",U189,IF(OR(P189="",M189="",Q189="",E189=""),"",IF(E189="做多",(P189-M189)/M189*Q189-R189,(M189-P189)/M189*Q189-R189)))</x:f>
      </x:c>
      <x:c r="W189" s="197" t="str">
        <x:f>IF(OR(V189="",S189="",S189=0),"",V189/S189)</x:f>
      </x:c>
      <x:c r="X189" s="198" t="str">
        <x:f>IF(V189="","",IF(V189&gt;0,"Win",IF(V189&lt;0,"Loss","BE")))</x:f>
      </x:c>
      <x:c r="Y189" s="194"/>
      <x:c r="Z189" s="194"/>
      <x:c r="AA189" s="194"/>
      <x:c r="AB189" s="194"/>
      <x:c r="AC189" s="194"/>
      <x:c r="AD189" s="196" t="str">
        <x:f>IF(A189="","",SUM($V$4:V189))</x:f>
      </x:c>
      <x:c r="AE189" s="196" t="str">
        <x:f>IF(AD189="","",MAX(0,$AD$4:AD189))</x:f>
      </x:c>
      <x:c r="AF189" s="199" t="str">
        <x:f>IF(AD189="","",AD189-AE189)</x:f>
      </x:c>
    </x:row>
    <x:row r="190">
      <x:c r="A190" s="192"/>
      <x:c r="B190" s="193"/>
      <x:c r="C190" s="193"/>
      <x:c r="D190" s="194"/>
      <x:c r="E190" s="194"/>
      <x:c r="F190" s="194"/>
      <x:c r="G190" s="194"/>
      <x:c r="H190" s="194"/>
      <x:c r="I190" s="194"/>
      <x:c r="J190" s="194"/>
      <x:c r="K190" s="194"/>
      <x:c r="L190" s="194"/>
      <x:c r="M190" s="195"/>
      <x:c r="N190" s="195"/>
      <x:c r="O190" s="195"/>
      <x:c r="P190" s="195"/>
      <x:c r="Q190" s="195"/>
      <x:c r="R190" s="195"/>
      <x:c r="S190" s="196" t="str">
        <x:f>IF(OR(M190="",N190="",Q190="",M190=0),"",ABS((M190-N190)/M190*Q190))</x:f>
      </x:c>
      <x:c r="T190" s="196" t="str">
        <x:f>IF(OR(M190="",N190="",O190="",M190=N190),"",ABS((O190-M190)/(M190-N190)))</x:f>
      </x:c>
      <x:c r="U190" s="195"/>
      <x:c r="V190" s="196" t="str">
        <x:f>IF(U190&lt;&gt;"",U190,IF(OR(P190="",M190="",Q190="",E190=""),"",IF(E190="做多",(P190-M190)/M190*Q190-R190,(M190-P190)/M190*Q190-R190)))</x:f>
      </x:c>
      <x:c r="W190" s="197" t="str">
        <x:f>IF(OR(V190="",S190="",S190=0),"",V190/S190)</x:f>
      </x:c>
      <x:c r="X190" s="198" t="str">
        <x:f>IF(V190="","",IF(V190&gt;0,"Win",IF(V190&lt;0,"Loss","BE")))</x:f>
      </x:c>
      <x:c r="Y190" s="194"/>
      <x:c r="Z190" s="194"/>
      <x:c r="AA190" s="194"/>
      <x:c r="AB190" s="194"/>
      <x:c r="AC190" s="194"/>
      <x:c r="AD190" s="196" t="str">
        <x:f>IF(A190="","",SUM($V$4:V190))</x:f>
      </x:c>
      <x:c r="AE190" s="196" t="str">
        <x:f>IF(AD190="","",MAX(0,$AD$4:AD190))</x:f>
      </x:c>
      <x:c r="AF190" s="199" t="str">
        <x:f>IF(AD190="","",AD190-AE190)</x:f>
      </x:c>
    </x:row>
    <x:row r="191">
      <x:c r="A191" s="192"/>
      <x:c r="B191" s="193"/>
      <x:c r="C191" s="193"/>
      <x:c r="D191" s="194"/>
      <x:c r="E191" s="194"/>
      <x:c r="F191" s="194"/>
      <x:c r="G191" s="194"/>
      <x:c r="H191" s="194"/>
      <x:c r="I191" s="194"/>
      <x:c r="J191" s="194"/>
      <x:c r="K191" s="194"/>
      <x:c r="L191" s="194"/>
      <x:c r="M191" s="195"/>
      <x:c r="N191" s="195"/>
      <x:c r="O191" s="195"/>
      <x:c r="P191" s="195"/>
      <x:c r="Q191" s="195"/>
      <x:c r="R191" s="195"/>
      <x:c r="S191" s="196" t="str">
        <x:f>IF(OR(M191="",N191="",Q191="",M191=0),"",ABS((M191-N191)/M191*Q191))</x:f>
      </x:c>
      <x:c r="T191" s="196" t="str">
        <x:f>IF(OR(M191="",N191="",O191="",M191=N191),"",ABS((O191-M191)/(M191-N191)))</x:f>
      </x:c>
      <x:c r="U191" s="195"/>
      <x:c r="V191" s="196" t="str">
        <x:f>IF(U191&lt;&gt;"",U191,IF(OR(P191="",M191="",Q191="",E191=""),"",IF(E191="做多",(P191-M191)/M191*Q191-R191,(M191-P191)/M191*Q191-R191)))</x:f>
      </x:c>
      <x:c r="W191" s="197" t="str">
        <x:f>IF(OR(V191="",S191="",S191=0),"",V191/S191)</x:f>
      </x:c>
      <x:c r="X191" s="198" t="str">
        <x:f>IF(V191="","",IF(V191&gt;0,"Win",IF(V191&lt;0,"Loss","BE")))</x:f>
      </x:c>
      <x:c r="Y191" s="194"/>
      <x:c r="Z191" s="194"/>
      <x:c r="AA191" s="194"/>
      <x:c r="AB191" s="194"/>
      <x:c r="AC191" s="194"/>
      <x:c r="AD191" s="196" t="str">
        <x:f>IF(A191="","",SUM($V$4:V191))</x:f>
      </x:c>
      <x:c r="AE191" s="196" t="str">
        <x:f>IF(AD191="","",MAX(0,$AD$4:AD191))</x:f>
      </x:c>
      <x:c r="AF191" s="199" t="str">
        <x:f>IF(AD191="","",AD191-AE191)</x:f>
      </x:c>
    </x:row>
    <x:row r="192">
      <x:c r="A192" s="192"/>
      <x:c r="B192" s="193"/>
      <x:c r="C192" s="193"/>
      <x:c r="D192" s="194"/>
      <x:c r="E192" s="194"/>
      <x:c r="F192" s="194"/>
      <x:c r="G192" s="194"/>
      <x:c r="H192" s="194"/>
      <x:c r="I192" s="194"/>
      <x:c r="J192" s="194"/>
      <x:c r="K192" s="194"/>
      <x:c r="L192" s="194"/>
      <x:c r="M192" s="195"/>
      <x:c r="N192" s="195"/>
      <x:c r="O192" s="195"/>
      <x:c r="P192" s="195"/>
      <x:c r="Q192" s="195"/>
      <x:c r="R192" s="195"/>
      <x:c r="S192" s="196" t="str">
        <x:f>IF(OR(M192="",N192="",Q192="",M192=0),"",ABS((M192-N192)/M192*Q192))</x:f>
      </x:c>
      <x:c r="T192" s="196" t="str">
        <x:f>IF(OR(M192="",N192="",O192="",M192=N192),"",ABS((O192-M192)/(M192-N192)))</x:f>
      </x:c>
      <x:c r="U192" s="195"/>
      <x:c r="V192" s="196" t="str">
        <x:f>IF(U192&lt;&gt;"",U192,IF(OR(P192="",M192="",Q192="",E192=""),"",IF(E192="做多",(P192-M192)/M192*Q192-R192,(M192-P192)/M192*Q192-R192)))</x:f>
      </x:c>
      <x:c r="W192" s="197" t="str">
        <x:f>IF(OR(V192="",S192="",S192=0),"",V192/S192)</x:f>
      </x:c>
      <x:c r="X192" s="198" t="str">
        <x:f>IF(V192="","",IF(V192&gt;0,"Win",IF(V192&lt;0,"Loss","BE")))</x:f>
      </x:c>
      <x:c r="Y192" s="194"/>
      <x:c r="Z192" s="194"/>
      <x:c r="AA192" s="194"/>
      <x:c r="AB192" s="194"/>
      <x:c r="AC192" s="194"/>
      <x:c r="AD192" s="196" t="str">
        <x:f>IF(A192="","",SUM($V$4:V192))</x:f>
      </x:c>
      <x:c r="AE192" s="196" t="str">
        <x:f>IF(AD192="","",MAX(0,$AD$4:AD192))</x:f>
      </x:c>
      <x:c r="AF192" s="199" t="str">
        <x:f>IF(AD192="","",AD192-AE192)</x:f>
      </x:c>
    </x:row>
    <x:row r="193">
      <x:c r="A193" s="192"/>
      <x:c r="B193" s="193"/>
      <x:c r="C193" s="193"/>
      <x:c r="D193" s="194"/>
      <x:c r="E193" s="194"/>
      <x:c r="F193" s="194"/>
      <x:c r="G193" s="194"/>
      <x:c r="H193" s="194"/>
      <x:c r="I193" s="194"/>
      <x:c r="J193" s="194"/>
      <x:c r="K193" s="194"/>
      <x:c r="L193" s="194"/>
      <x:c r="M193" s="195"/>
      <x:c r="N193" s="195"/>
      <x:c r="O193" s="195"/>
      <x:c r="P193" s="195"/>
      <x:c r="Q193" s="195"/>
      <x:c r="R193" s="195"/>
      <x:c r="S193" s="196" t="str">
        <x:f>IF(OR(M193="",N193="",Q193="",M193=0),"",ABS((M193-N193)/M193*Q193))</x:f>
      </x:c>
      <x:c r="T193" s="196" t="str">
        <x:f>IF(OR(M193="",N193="",O193="",M193=N193),"",ABS((O193-M193)/(M193-N193)))</x:f>
      </x:c>
      <x:c r="U193" s="195"/>
      <x:c r="V193" s="196" t="str">
        <x:f>IF(U193&lt;&gt;"",U193,IF(OR(P193="",M193="",Q193="",E193=""),"",IF(E193="做多",(P193-M193)/M193*Q193-R193,(M193-P193)/M193*Q193-R193)))</x:f>
      </x:c>
      <x:c r="W193" s="197" t="str">
        <x:f>IF(OR(V193="",S193="",S193=0),"",V193/S193)</x:f>
      </x:c>
      <x:c r="X193" s="198" t="str">
        <x:f>IF(V193="","",IF(V193&gt;0,"Win",IF(V193&lt;0,"Loss","BE")))</x:f>
      </x:c>
      <x:c r="Y193" s="194"/>
      <x:c r="Z193" s="194"/>
      <x:c r="AA193" s="194"/>
      <x:c r="AB193" s="194"/>
      <x:c r="AC193" s="194"/>
      <x:c r="AD193" s="196" t="str">
        <x:f>IF(A193="","",SUM($V$4:V193))</x:f>
      </x:c>
      <x:c r="AE193" s="196" t="str">
        <x:f>IF(AD193="","",MAX(0,$AD$4:AD193))</x:f>
      </x:c>
      <x:c r="AF193" s="199" t="str">
        <x:f>IF(AD193="","",AD193-AE193)</x:f>
      </x:c>
    </x:row>
    <x:row r="194">
      <x:c r="A194" s="192"/>
      <x:c r="B194" s="193"/>
      <x:c r="C194" s="193"/>
      <x:c r="D194" s="194"/>
      <x:c r="E194" s="194"/>
      <x:c r="F194" s="194"/>
      <x:c r="G194" s="194"/>
      <x:c r="H194" s="194"/>
      <x:c r="I194" s="194"/>
      <x:c r="J194" s="194"/>
      <x:c r="K194" s="194"/>
      <x:c r="L194" s="194"/>
      <x:c r="M194" s="195"/>
      <x:c r="N194" s="195"/>
      <x:c r="O194" s="195"/>
      <x:c r="P194" s="195"/>
      <x:c r="Q194" s="195"/>
      <x:c r="R194" s="195"/>
      <x:c r="S194" s="196" t="str">
        <x:f>IF(OR(M194="",N194="",Q194="",M194=0),"",ABS((M194-N194)/M194*Q194))</x:f>
      </x:c>
      <x:c r="T194" s="196" t="str">
        <x:f>IF(OR(M194="",N194="",O194="",M194=N194),"",ABS((O194-M194)/(M194-N194)))</x:f>
      </x:c>
      <x:c r="U194" s="195"/>
      <x:c r="V194" s="196" t="str">
        <x:f>IF(U194&lt;&gt;"",U194,IF(OR(P194="",M194="",Q194="",E194=""),"",IF(E194="做多",(P194-M194)/M194*Q194-R194,(M194-P194)/M194*Q194-R194)))</x:f>
      </x:c>
      <x:c r="W194" s="197" t="str">
        <x:f>IF(OR(V194="",S194="",S194=0),"",V194/S194)</x:f>
      </x:c>
      <x:c r="X194" s="198" t="str">
        <x:f>IF(V194="","",IF(V194&gt;0,"Win",IF(V194&lt;0,"Loss","BE")))</x:f>
      </x:c>
      <x:c r="Y194" s="194"/>
      <x:c r="Z194" s="194"/>
      <x:c r="AA194" s="194"/>
      <x:c r="AB194" s="194"/>
      <x:c r="AC194" s="194"/>
      <x:c r="AD194" s="196" t="str">
        <x:f>IF(A194="","",SUM($V$4:V194))</x:f>
      </x:c>
      <x:c r="AE194" s="196" t="str">
        <x:f>IF(AD194="","",MAX(0,$AD$4:AD194))</x:f>
      </x:c>
      <x:c r="AF194" s="199" t="str">
        <x:f>IF(AD194="","",AD194-AE194)</x:f>
      </x:c>
    </x:row>
    <x:row r="195">
      <x:c r="A195" s="192"/>
      <x:c r="B195" s="193"/>
      <x:c r="C195" s="193"/>
      <x:c r="D195" s="194"/>
      <x:c r="E195" s="194"/>
      <x:c r="F195" s="194"/>
      <x:c r="G195" s="194"/>
      <x:c r="H195" s="194"/>
      <x:c r="I195" s="194"/>
      <x:c r="J195" s="194"/>
      <x:c r="K195" s="194"/>
      <x:c r="L195" s="194"/>
      <x:c r="M195" s="195"/>
      <x:c r="N195" s="195"/>
      <x:c r="O195" s="195"/>
      <x:c r="P195" s="195"/>
      <x:c r="Q195" s="195"/>
      <x:c r="R195" s="195"/>
      <x:c r="S195" s="196" t="str">
        <x:f>IF(OR(M195="",N195="",Q195="",M195=0),"",ABS((M195-N195)/M195*Q195))</x:f>
      </x:c>
      <x:c r="T195" s="196" t="str">
        <x:f>IF(OR(M195="",N195="",O195="",M195=N195),"",ABS((O195-M195)/(M195-N195)))</x:f>
      </x:c>
      <x:c r="U195" s="195"/>
      <x:c r="V195" s="196" t="str">
        <x:f>IF(U195&lt;&gt;"",U195,IF(OR(P195="",M195="",Q195="",E195=""),"",IF(E195="做多",(P195-M195)/M195*Q195-R195,(M195-P195)/M195*Q195-R195)))</x:f>
      </x:c>
      <x:c r="W195" s="197" t="str">
        <x:f>IF(OR(V195="",S195="",S195=0),"",V195/S195)</x:f>
      </x:c>
      <x:c r="X195" s="198" t="str">
        <x:f>IF(V195="","",IF(V195&gt;0,"Win",IF(V195&lt;0,"Loss","BE")))</x:f>
      </x:c>
      <x:c r="Y195" s="194"/>
      <x:c r="Z195" s="194"/>
      <x:c r="AA195" s="194"/>
      <x:c r="AB195" s="194"/>
      <x:c r="AC195" s="194"/>
      <x:c r="AD195" s="196" t="str">
        <x:f>IF(A195="","",SUM($V$4:V195))</x:f>
      </x:c>
      <x:c r="AE195" s="196" t="str">
        <x:f>IF(AD195="","",MAX(0,$AD$4:AD195))</x:f>
      </x:c>
      <x:c r="AF195" s="199" t="str">
        <x:f>IF(AD195="","",AD195-AE195)</x:f>
      </x:c>
    </x:row>
    <x:row r="196">
      <x:c r="A196" s="192"/>
      <x:c r="B196" s="193"/>
      <x:c r="C196" s="193"/>
      <x:c r="D196" s="194"/>
      <x:c r="E196" s="194"/>
      <x:c r="F196" s="194"/>
      <x:c r="G196" s="194"/>
      <x:c r="H196" s="194"/>
      <x:c r="I196" s="194"/>
      <x:c r="J196" s="194"/>
      <x:c r="K196" s="194"/>
      <x:c r="L196" s="194"/>
      <x:c r="M196" s="195"/>
      <x:c r="N196" s="195"/>
      <x:c r="O196" s="195"/>
      <x:c r="P196" s="195"/>
      <x:c r="Q196" s="195"/>
      <x:c r="R196" s="195"/>
      <x:c r="S196" s="196" t="str">
        <x:f>IF(OR(M196="",N196="",Q196="",M196=0),"",ABS((M196-N196)/M196*Q196))</x:f>
      </x:c>
      <x:c r="T196" s="196" t="str">
        <x:f>IF(OR(M196="",N196="",O196="",M196=N196),"",ABS((O196-M196)/(M196-N196)))</x:f>
      </x:c>
      <x:c r="U196" s="195"/>
      <x:c r="V196" s="196" t="str">
        <x:f>IF(U196&lt;&gt;"",U196,IF(OR(P196="",M196="",Q196="",E196=""),"",IF(E196="做多",(P196-M196)/M196*Q196-R196,(M196-P196)/M196*Q196-R196)))</x:f>
      </x:c>
      <x:c r="W196" s="197" t="str">
        <x:f>IF(OR(V196="",S196="",S196=0),"",V196/S196)</x:f>
      </x:c>
      <x:c r="X196" s="198" t="str">
        <x:f>IF(V196="","",IF(V196&gt;0,"Win",IF(V196&lt;0,"Loss","BE")))</x:f>
      </x:c>
      <x:c r="Y196" s="194"/>
      <x:c r="Z196" s="194"/>
      <x:c r="AA196" s="194"/>
      <x:c r="AB196" s="194"/>
      <x:c r="AC196" s="194"/>
      <x:c r="AD196" s="196" t="str">
        <x:f>IF(A196="","",SUM($V$4:V196))</x:f>
      </x:c>
      <x:c r="AE196" s="196" t="str">
        <x:f>IF(AD196="","",MAX(0,$AD$4:AD196))</x:f>
      </x:c>
      <x:c r="AF196" s="199" t="str">
        <x:f>IF(AD196="","",AD196-AE196)</x:f>
      </x:c>
    </x:row>
    <x:row r="197">
      <x:c r="A197" s="192"/>
      <x:c r="B197" s="193"/>
      <x:c r="C197" s="193"/>
      <x:c r="D197" s="194"/>
      <x:c r="E197" s="194"/>
      <x:c r="F197" s="194"/>
      <x:c r="G197" s="194"/>
      <x:c r="H197" s="194"/>
      <x:c r="I197" s="194"/>
      <x:c r="J197" s="194"/>
      <x:c r="K197" s="194"/>
      <x:c r="L197" s="194"/>
      <x:c r="M197" s="195"/>
      <x:c r="N197" s="195"/>
      <x:c r="O197" s="195"/>
      <x:c r="P197" s="195"/>
      <x:c r="Q197" s="195"/>
      <x:c r="R197" s="195"/>
      <x:c r="S197" s="196" t="str">
        <x:f>IF(OR(M197="",N197="",Q197="",M197=0),"",ABS((M197-N197)/M197*Q197))</x:f>
      </x:c>
      <x:c r="T197" s="196" t="str">
        <x:f>IF(OR(M197="",N197="",O197="",M197=N197),"",ABS((O197-M197)/(M197-N197)))</x:f>
      </x:c>
      <x:c r="U197" s="195"/>
      <x:c r="V197" s="196" t="str">
        <x:f>IF(U197&lt;&gt;"",U197,IF(OR(P197="",M197="",Q197="",E197=""),"",IF(E197="做多",(P197-M197)/M197*Q197-R197,(M197-P197)/M197*Q197-R197)))</x:f>
      </x:c>
      <x:c r="W197" s="197" t="str">
        <x:f>IF(OR(V197="",S197="",S197=0),"",V197/S197)</x:f>
      </x:c>
      <x:c r="X197" s="198" t="str">
        <x:f>IF(V197="","",IF(V197&gt;0,"Win",IF(V197&lt;0,"Loss","BE")))</x:f>
      </x:c>
      <x:c r="Y197" s="194"/>
      <x:c r="Z197" s="194"/>
      <x:c r="AA197" s="194"/>
      <x:c r="AB197" s="194"/>
      <x:c r="AC197" s="194"/>
      <x:c r="AD197" s="196" t="str">
        <x:f>IF(A197="","",SUM($V$4:V197))</x:f>
      </x:c>
      <x:c r="AE197" s="196" t="str">
        <x:f>IF(AD197="","",MAX(0,$AD$4:AD197))</x:f>
      </x:c>
      <x:c r="AF197" s="199" t="str">
        <x:f>IF(AD197="","",AD197-AE197)</x:f>
      </x:c>
    </x:row>
    <x:row r="198">
      <x:c r="A198" s="192"/>
      <x:c r="B198" s="193"/>
      <x:c r="C198" s="193"/>
      <x:c r="D198" s="194"/>
      <x:c r="E198" s="194"/>
      <x:c r="F198" s="194"/>
      <x:c r="G198" s="194"/>
      <x:c r="H198" s="194"/>
      <x:c r="I198" s="194"/>
      <x:c r="J198" s="194"/>
      <x:c r="K198" s="194"/>
      <x:c r="L198" s="194"/>
      <x:c r="M198" s="195"/>
      <x:c r="N198" s="195"/>
      <x:c r="O198" s="195"/>
      <x:c r="P198" s="195"/>
      <x:c r="Q198" s="195"/>
      <x:c r="R198" s="195"/>
      <x:c r="S198" s="196" t="str">
        <x:f>IF(OR(M198="",N198="",Q198="",M198=0),"",ABS((M198-N198)/M198*Q198))</x:f>
      </x:c>
      <x:c r="T198" s="196" t="str">
        <x:f>IF(OR(M198="",N198="",O198="",M198=N198),"",ABS((O198-M198)/(M198-N198)))</x:f>
      </x:c>
      <x:c r="U198" s="195"/>
      <x:c r="V198" s="196" t="str">
        <x:f>IF(U198&lt;&gt;"",U198,IF(OR(P198="",M198="",Q198="",E198=""),"",IF(E198="做多",(P198-M198)/M198*Q198-R198,(M198-P198)/M198*Q198-R198)))</x:f>
      </x:c>
      <x:c r="W198" s="197" t="str">
        <x:f>IF(OR(V198="",S198="",S198=0),"",V198/S198)</x:f>
      </x:c>
      <x:c r="X198" s="198" t="str">
        <x:f>IF(V198="","",IF(V198&gt;0,"Win",IF(V198&lt;0,"Loss","BE")))</x:f>
      </x:c>
      <x:c r="Y198" s="194"/>
      <x:c r="Z198" s="194"/>
      <x:c r="AA198" s="194"/>
      <x:c r="AB198" s="194"/>
      <x:c r="AC198" s="194"/>
      <x:c r="AD198" s="196" t="str">
        <x:f>IF(A198="","",SUM($V$4:V198))</x:f>
      </x:c>
      <x:c r="AE198" s="196" t="str">
        <x:f>IF(AD198="","",MAX(0,$AD$4:AD198))</x:f>
      </x:c>
      <x:c r="AF198" s="199" t="str">
        <x:f>IF(AD198="","",AD198-AE198)</x:f>
      </x:c>
    </x:row>
    <x:row r="199">
      <x:c r="A199" s="192"/>
      <x:c r="B199" s="193"/>
      <x:c r="C199" s="193"/>
      <x:c r="D199" s="194"/>
      <x:c r="E199" s="194"/>
      <x:c r="F199" s="194"/>
      <x:c r="G199" s="194"/>
      <x:c r="H199" s="194"/>
      <x:c r="I199" s="194"/>
      <x:c r="J199" s="194"/>
      <x:c r="K199" s="194"/>
      <x:c r="L199" s="194"/>
      <x:c r="M199" s="195"/>
      <x:c r="N199" s="195"/>
      <x:c r="O199" s="195"/>
      <x:c r="P199" s="195"/>
      <x:c r="Q199" s="195"/>
      <x:c r="R199" s="195"/>
      <x:c r="S199" s="196" t="str">
        <x:f>IF(OR(M199="",N199="",Q199="",M199=0),"",ABS((M199-N199)/M199*Q199))</x:f>
      </x:c>
      <x:c r="T199" s="196" t="str">
        <x:f>IF(OR(M199="",N199="",O199="",M199=N199),"",ABS((O199-M199)/(M199-N199)))</x:f>
      </x:c>
      <x:c r="U199" s="195"/>
      <x:c r="V199" s="196" t="str">
        <x:f>IF(U199&lt;&gt;"",U199,IF(OR(P199="",M199="",Q199="",E199=""),"",IF(E199="做多",(P199-M199)/M199*Q199-R199,(M199-P199)/M199*Q199-R199)))</x:f>
      </x:c>
      <x:c r="W199" s="197" t="str">
        <x:f>IF(OR(V199="",S199="",S199=0),"",V199/S199)</x:f>
      </x:c>
      <x:c r="X199" s="198" t="str">
        <x:f>IF(V199="","",IF(V199&gt;0,"Win",IF(V199&lt;0,"Loss","BE")))</x:f>
      </x:c>
      <x:c r="Y199" s="194"/>
      <x:c r="Z199" s="194"/>
      <x:c r="AA199" s="194"/>
      <x:c r="AB199" s="194"/>
      <x:c r="AC199" s="194"/>
      <x:c r="AD199" s="196" t="str">
        <x:f>IF(A199="","",SUM($V$4:V199))</x:f>
      </x:c>
      <x:c r="AE199" s="196" t="str">
        <x:f>IF(AD199="","",MAX(0,$AD$4:AD199))</x:f>
      </x:c>
      <x:c r="AF199" s="199" t="str">
        <x:f>IF(AD199="","",AD199-AE199)</x:f>
      </x:c>
    </x:row>
    <x:row r="200">
      <x:c r="A200" s="192"/>
      <x:c r="B200" s="193"/>
      <x:c r="C200" s="193"/>
      <x:c r="D200" s="194"/>
      <x:c r="E200" s="194"/>
      <x:c r="F200" s="194"/>
      <x:c r="G200" s="194"/>
      <x:c r="H200" s="194"/>
      <x:c r="I200" s="194"/>
      <x:c r="J200" s="194"/>
      <x:c r="K200" s="194"/>
      <x:c r="L200" s="194"/>
      <x:c r="M200" s="195"/>
      <x:c r="N200" s="195"/>
      <x:c r="O200" s="195"/>
      <x:c r="P200" s="195"/>
      <x:c r="Q200" s="195"/>
      <x:c r="R200" s="195"/>
      <x:c r="S200" s="196" t="str">
        <x:f>IF(OR(M200="",N200="",Q200="",M200=0),"",ABS((M200-N200)/M200*Q200))</x:f>
      </x:c>
      <x:c r="T200" s="196" t="str">
        <x:f>IF(OR(M200="",N200="",O200="",M200=N200),"",ABS((O200-M200)/(M200-N200)))</x:f>
      </x:c>
      <x:c r="U200" s="195"/>
      <x:c r="V200" s="196" t="str">
        <x:f>IF(U200&lt;&gt;"",U200,IF(OR(P200="",M200="",Q200="",E200=""),"",IF(E200="做多",(P200-M200)/M200*Q200-R200,(M200-P200)/M200*Q200-R200)))</x:f>
      </x:c>
      <x:c r="W200" s="197" t="str">
        <x:f>IF(OR(V200="",S200="",S200=0),"",V200/S200)</x:f>
      </x:c>
      <x:c r="X200" s="198" t="str">
        <x:f>IF(V200="","",IF(V200&gt;0,"Win",IF(V200&lt;0,"Loss","BE")))</x:f>
      </x:c>
      <x:c r="Y200" s="194"/>
      <x:c r="Z200" s="194"/>
      <x:c r="AA200" s="194"/>
      <x:c r="AB200" s="194"/>
      <x:c r="AC200" s="194"/>
      <x:c r="AD200" s="196" t="str">
        <x:f>IF(A200="","",SUM($V$4:V200))</x:f>
      </x:c>
      <x:c r="AE200" s="196" t="str">
        <x:f>IF(AD200="","",MAX(0,$AD$4:AD200))</x:f>
      </x:c>
      <x:c r="AF200" s="199" t="str">
        <x:f>IF(AD200="","",AD200-AE200)</x:f>
      </x:c>
    </x:row>
    <x:row r="201">
      <x:c r="A201" s="192"/>
      <x:c r="B201" s="193"/>
      <x:c r="C201" s="193"/>
      <x:c r="D201" s="194"/>
      <x:c r="E201" s="194"/>
      <x:c r="F201" s="194"/>
      <x:c r="G201" s="194"/>
      <x:c r="H201" s="194"/>
      <x:c r="I201" s="194"/>
      <x:c r="J201" s="194"/>
      <x:c r="K201" s="194"/>
      <x:c r="L201" s="194"/>
      <x:c r="M201" s="195"/>
      <x:c r="N201" s="195"/>
      <x:c r="O201" s="195"/>
      <x:c r="P201" s="195"/>
      <x:c r="Q201" s="195"/>
      <x:c r="R201" s="195"/>
      <x:c r="S201" s="196" t="str">
        <x:f>IF(OR(M201="",N201="",Q201="",M201=0),"",ABS((M201-N201)/M201*Q201))</x:f>
      </x:c>
      <x:c r="T201" s="196" t="str">
        <x:f>IF(OR(M201="",N201="",O201="",M201=N201),"",ABS((O201-M201)/(M201-N201)))</x:f>
      </x:c>
      <x:c r="U201" s="195"/>
      <x:c r="V201" s="196" t="str">
        <x:f>IF(U201&lt;&gt;"",U201,IF(OR(P201="",M201="",Q201="",E201=""),"",IF(E201="做多",(P201-M201)/M201*Q201-R201,(M201-P201)/M201*Q201-R201)))</x:f>
      </x:c>
      <x:c r="W201" s="197" t="str">
        <x:f>IF(OR(V201="",S201="",S201=0),"",V201/S201)</x:f>
      </x:c>
      <x:c r="X201" s="198" t="str">
        <x:f>IF(V201="","",IF(V201&gt;0,"Win",IF(V201&lt;0,"Loss","BE")))</x:f>
      </x:c>
      <x:c r="Y201" s="194"/>
      <x:c r="Z201" s="194"/>
      <x:c r="AA201" s="194"/>
      <x:c r="AB201" s="194"/>
      <x:c r="AC201" s="194"/>
      <x:c r="AD201" s="196" t="str">
        <x:f>IF(A201="","",SUM($V$4:V201))</x:f>
      </x:c>
      <x:c r="AE201" s="196" t="str">
        <x:f>IF(AD201="","",MAX(0,$AD$4:AD201))</x:f>
      </x:c>
      <x:c r="AF201" s="199" t="str">
        <x:f>IF(AD201="","",AD201-AE201)</x:f>
      </x:c>
    </x:row>
    <x:row r="202">
      <x:c r="A202" s="192"/>
      <x:c r="B202" s="193"/>
      <x:c r="C202" s="193"/>
      <x:c r="D202" s="194"/>
      <x:c r="E202" s="194"/>
      <x:c r="F202" s="194"/>
      <x:c r="G202" s="194"/>
      <x:c r="H202" s="194"/>
      <x:c r="I202" s="194"/>
      <x:c r="J202" s="194"/>
      <x:c r="K202" s="194"/>
      <x:c r="L202" s="194"/>
      <x:c r="M202" s="195"/>
      <x:c r="N202" s="195"/>
      <x:c r="O202" s="195"/>
      <x:c r="P202" s="195"/>
      <x:c r="Q202" s="195"/>
      <x:c r="R202" s="195"/>
      <x:c r="S202" s="196" t="str">
        <x:f>IF(OR(M202="",N202="",Q202="",M202=0),"",ABS((M202-N202)/M202*Q202))</x:f>
      </x:c>
      <x:c r="T202" s="196" t="str">
        <x:f>IF(OR(M202="",N202="",O202="",M202=N202),"",ABS((O202-M202)/(M202-N202)))</x:f>
      </x:c>
      <x:c r="U202" s="195"/>
      <x:c r="V202" s="196" t="str">
        <x:f>IF(U202&lt;&gt;"",U202,IF(OR(P202="",M202="",Q202="",E202=""),"",IF(E202="做多",(P202-M202)/M202*Q202-R202,(M202-P202)/M202*Q202-R202)))</x:f>
      </x:c>
      <x:c r="W202" s="197" t="str">
        <x:f>IF(OR(V202="",S202="",S202=0),"",V202/S202)</x:f>
      </x:c>
      <x:c r="X202" s="198" t="str">
        <x:f>IF(V202="","",IF(V202&gt;0,"Win",IF(V202&lt;0,"Loss","BE")))</x:f>
      </x:c>
      <x:c r="Y202" s="194"/>
      <x:c r="Z202" s="194"/>
      <x:c r="AA202" s="194"/>
      <x:c r="AB202" s="194"/>
      <x:c r="AC202" s="194"/>
      <x:c r="AD202" s="196" t="str">
        <x:f>IF(A202="","",SUM($V$4:V202))</x:f>
      </x:c>
      <x:c r="AE202" s="196" t="str">
        <x:f>IF(AD202="","",MAX(0,$AD$4:AD202))</x:f>
      </x:c>
      <x:c r="AF202" s="199" t="str">
        <x:f>IF(AD202="","",AD202-AE202)</x:f>
      </x:c>
    </x:row>
    <x:row r="203">
      <x:c r="A203" s="192"/>
      <x:c r="B203" s="193"/>
      <x:c r="C203" s="193"/>
      <x:c r="D203" s="194"/>
      <x:c r="E203" s="194"/>
      <x:c r="F203" s="194"/>
      <x:c r="G203" s="194"/>
      <x:c r="H203" s="194"/>
      <x:c r="I203" s="194"/>
      <x:c r="J203" s="194"/>
      <x:c r="K203" s="194"/>
      <x:c r="L203" s="194"/>
      <x:c r="M203" s="195"/>
      <x:c r="N203" s="195"/>
      <x:c r="O203" s="195"/>
      <x:c r="P203" s="195"/>
      <x:c r="Q203" s="195"/>
      <x:c r="R203" s="195"/>
      <x:c r="S203" s="196" t="str">
        <x:f>IF(OR(M203="",N203="",Q203="",M203=0),"",ABS((M203-N203)/M203*Q203))</x:f>
      </x:c>
      <x:c r="T203" s="196" t="str">
        <x:f>IF(OR(M203="",N203="",O203="",M203=N203),"",ABS((O203-M203)/(M203-N203)))</x:f>
      </x:c>
      <x:c r="U203" s="195"/>
      <x:c r="V203" s="196" t="str">
        <x:f>IF(U203&lt;&gt;"",U203,IF(OR(P203="",M203="",Q203="",E203=""),"",IF(E203="做多",(P203-M203)/M203*Q203-R203,(M203-P203)/M203*Q203-R203)))</x:f>
      </x:c>
      <x:c r="W203" s="197" t="str">
        <x:f>IF(OR(V203="",S203="",S203=0),"",V203/S203)</x:f>
      </x:c>
      <x:c r="X203" s="198" t="str">
        <x:f>IF(V203="","",IF(V203&gt;0,"Win",IF(V203&lt;0,"Loss","BE")))</x:f>
      </x:c>
      <x:c r="Y203" s="194"/>
      <x:c r="Z203" s="194"/>
      <x:c r="AA203" s="194"/>
      <x:c r="AB203" s="194"/>
      <x:c r="AC203" s="194"/>
      <x:c r="AD203" s="196" t="str">
        <x:f>IF(A203="","",SUM($V$4:V203))</x:f>
      </x:c>
      <x:c r="AE203" s="196" t="str">
        <x:f>IF(AD203="","",MAX(0,$AD$4:AD203))</x:f>
      </x:c>
      <x:c r="AF203" s="199" t="str">
        <x:f>IF(AD203="","",AD203-AE203)</x:f>
      </x:c>
    </x:row>
    <x:row r="204">
      <x:c r="A204" s="192"/>
      <x:c r="B204" s="193"/>
      <x:c r="C204" s="193"/>
      <x:c r="D204" s="194"/>
      <x:c r="E204" s="194"/>
      <x:c r="F204" s="194"/>
      <x:c r="G204" s="194"/>
      <x:c r="H204" s="194"/>
      <x:c r="I204" s="194"/>
      <x:c r="J204" s="194"/>
      <x:c r="K204" s="194"/>
      <x:c r="L204" s="194"/>
      <x:c r="M204" s="195"/>
      <x:c r="N204" s="195"/>
      <x:c r="O204" s="195"/>
      <x:c r="P204" s="195"/>
      <x:c r="Q204" s="195"/>
      <x:c r="R204" s="195"/>
      <x:c r="S204" s="196" t="str">
        <x:f>IF(OR(M204="",N204="",Q204="",M204=0),"",ABS((M204-N204)/M204*Q204))</x:f>
      </x:c>
      <x:c r="T204" s="196" t="str">
        <x:f>IF(OR(M204="",N204="",O204="",M204=N204),"",ABS((O204-M204)/(M204-N204)))</x:f>
      </x:c>
      <x:c r="U204" s="195"/>
      <x:c r="V204" s="196" t="str">
        <x:f>IF(U204&lt;&gt;"",U204,IF(OR(P204="",M204="",Q204="",E204=""),"",IF(E204="做多",(P204-M204)/M204*Q204-R204,(M204-P204)/M204*Q204-R204)))</x:f>
      </x:c>
      <x:c r="W204" s="197" t="str">
        <x:f>IF(OR(V204="",S204="",S204=0),"",V204/S204)</x:f>
      </x:c>
      <x:c r="X204" s="198" t="str">
        <x:f>IF(V204="","",IF(V204&gt;0,"Win",IF(V204&lt;0,"Loss","BE")))</x:f>
      </x:c>
      <x:c r="Y204" s="194"/>
      <x:c r="Z204" s="194"/>
      <x:c r="AA204" s="194"/>
      <x:c r="AB204" s="194"/>
      <x:c r="AC204" s="194"/>
      <x:c r="AD204" s="196" t="str">
        <x:f>IF(A204="","",SUM($V$4:V204))</x:f>
      </x:c>
      <x:c r="AE204" s="196" t="str">
        <x:f>IF(AD204="","",MAX(0,$AD$4:AD204))</x:f>
      </x:c>
      <x:c r="AF204" s="199" t="str">
        <x:f>IF(AD204="","",AD204-AE204)</x:f>
      </x:c>
    </x:row>
    <x:row r="205">
      <x:c r="A205" s="192"/>
      <x:c r="B205" s="193"/>
      <x:c r="C205" s="193"/>
      <x:c r="D205" s="194"/>
      <x:c r="E205" s="194"/>
      <x:c r="F205" s="194"/>
      <x:c r="G205" s="194"/>
      <x:c r="H205" s="194"/>
      <x:c r="I205" s="194"/>
      <x:c r="J205" s="194"/>
      <x:c r="K205" s="194"/>
      <x:c r="L205" s="194"/>
      <x:c r="M205" s="195"/>
      <x:c r="N205" s="195"/>
      <x:c r="O205" s="195"/>
      <x:c r="P205" s="195"/>
      <x:c r="Q205" s="195"/>
      <x:c r="R205" s="195"/>
      <x:c r="S205" s="196" t="str">
        <x:f>IF(OR(M205="",N205="",Q205="",M205=0),"",ABS((M205-N205)/M205*Q205))</x:f>
      </x:c>
      <x:c r="T205" s="196" t="str">
        <x:f>IF(OR(M205="",N205="",O205="",M205=N205),"",ABS((O205-M205)/(M205-N205)))</x:f>
      </x:c>
      <x:c r="U205" s="195"/>
      <x:c r="V205" s="196" t="str">
        <x:f>IF(U205&lt;&gt;"",U205,IF(OR(P205="",M205="",Q205="",E205=""),"",IF(E205="做多",(P205-M205)/M205*Q205-R205,(M205-P205)/M205*Q205-R205)))</x:f>
      </x:c>
      <x:c r="W205" s="197" t="str">
        <x:f>IF(OR(V205="",S205="",S205=0),"",V205/S205)</x:f>
      </x:c>
      <x:c r="X205" s="198" t="str">
        <x:f>IF(V205="","",IF(V205&gt;0,"Win",IF(V205&lt;0,"Loss","BE")))</x:f>
      </x:c>
      <x:c r="Y205" s="194"/>
      <x:c r="Z205" s="194"/>
      <x:c r="AA205" s="194"/>
      <x:c r="AB205" s="194"/>
      <x:c r="AC205" s="194"/>
      <x:c r="AD205" s="196" t="str">
        <x:f>IF(A205="","",SUM($V$4:V205))</x:f>
      </x:c>
      <x:c r="AE205" s="196" t="str">
        <x:f>IF(AD205="","",MAX(0,$AD$4:AD205))</x:f>
      </x:c>
      <x:c r="AF205" s="199" t="str">
        <x:f>IF(AD205="","",AD205-AE205)</x:f>
      </x:c>
    </x:row>
    <x:row r="206">
      <x:c r="A206" s="192"/>
      <x:c r="B206" s="193"/>
      <x:c r="C206" s="193"/>
      <x:c r="D206" s="194"/>
      <x:c r="E206" s="194"/>
      <x:c r="F206" s="194"/>
      <x:c r="G206" s="194"/>
      <x:c r="H206" s="194"/>
      <x:c r="I206" s="194"/>
      <x:c r="J206" s="194"/>
      <x:c r="K206" s="194"/>
      <x:c r="L206" s="194"/>
      <x:c r="M206" s="195"/>
      <x:c r="N206" s="195"/>
      <x:c r="O206" s="195"/>
      <x:c r="P206" s="195"/>
      <x:c r="Q206" s="195"/>
      <x:c r="R206" s="195"/>
      <x:c r="S206" s="196" t="str">
        <x:f>IF(OR(M206="",N206="",Q206="",M206=0),"",ABS((M206-N206)/M206*Q206))</x:f>
      </x:c>
      <x:c r="T206" s="196" t="str">
        <x:f>IF(OR(M206="",N206="",O206="",M206=N206),"",ABS((O206-M206)/(M206-N206)))</x:f>
      </x:c>
      <x:c r="U206" s="195"/>
      <x:c r="V206" s="196" t="str">
        <x:f>IF(U206&lt;&gt;"",U206,IF(OR(P206="",M206="",Q206="",E206=""),"",IF(E206="做多",(P206-M206)/M206*Q206-R206,(M206-P206)/M206*Q206-R206)))</x:f>
      </x:c>
      <x:c r="W206" s="197" t="str">
        <x:f>IF(OR(V206="",S206="",S206=0),"",V206/S206)</x:f>
      </x:c>
      <x:c r="X206" s="198" t="str">
        <x:f>IF(V206="","",IF(V206&gt;0,"Win",IF(V206&lt;0,"Loss","BE")))</x:f>
      </x:c>
      <x:c r="Y206" s="194"/>
      <x:c r="Z206" s="194"/>
      <x:c r="AA206" s="194"/>
      <x:c r="AB206" s="194"/>
      <x:c r="AC206" s="194"/>
      <x:c r="AD206" s="196" t="str">
        <x:f>IF(A206="","",SUM($V$4:V206))</x:f>
      </x:c>
      <x:c r="AE206" s="196" t="str">
        <x:f>IF(AD206="","",MAX(0,$AD$4:AD206))</x:f>
      </x:c>
      <x:c r="AF206" s="199" t="str">
        <x:f>IF(AD206="","",AD206-AE206)</x:f>
      </x:c>
    </x:row>
    <x:row r="207">
      <x:c r="A207" s="192"/>
      <x:c r="B207" s="193"/>
      <x:c r="C207" s="193"/>
      <x:c r="D207" s="194"/>
      <x:c r="E207" s="194"/>
      <x:c r="F207" s="194"/>
      <x:c r="G207" s="194"/>
      <x:c r="H207" s="194"/>
      <x:c r="I207" s="194"/>
      <x:c r="J207" s="194"/>
      <x:c r="K207" s="194"/>
      <x:c r="L207" s="194"/>
      <x:c r="M207" s="195"/>
      <x:c r="N207" s="195"/>
      <x:c r="O207" s="195"/>
      <x:c r="P207" s="195"/>
      <x:c r="Q207" s="195"/>
      <x:c r="R207" s="195"/>
      <x:c r="S207" s="196" t="str">
        <x:f>IF(OR(M207="",N207="",Q207="",M207=0),"",ABS((M207-N207)/M207*Q207))</x:f>
      </x:c>
      <x:c r="T207" s="196" t="str">
        <x:f>IF(OR(M207="",N207="",O207="",M207=N207),"",ABS((O207-M207)/(M207-N207)))</x:f>
      </x:c>
      <x:c r="U207" s="195"/>
      <x:c r="V207" s="196" t="str">
        <x:f>IF(U207&lt;&gt;"",U207,IF(OR(P207="",M207="",Q207="",E207=""),"",IF(E207="做多",(P207-M207)/M207*Q207-R207,(M207-P207)/M207*Q207-R207)))</x:f>
      </x:c>
      <x:c r="W207" s="197" t="str">
        <x:f>IF(OR(V207="",S207="",S207=0),"",V207/S207)</x:f>
      </x:c>
      <x:c r="X207" s="198" t="str">
        <x:f>IF(V207="","",IF(V207&gt;0,"Win",IF(V207&lt;0,"Loss","BE")))</x:f>
      </x:c>
      <x:c r="Y207" s="194"/>
      <x:c r="Z207" s="194"/>
      <x:c r="AA207" s="194"/>
      <x:c r="AB207" s="194"/>
      <x:c r="AC207" s="194"/>
      <x:c r="AD207" s="196" t="str">
        <x:f>IF(A207="","",SUM($V$4:V207))</x:f>
      </x:c>
      <x:c r="AE207" s="196" t="str">
        <x:f>IF(AD207="","",MAX(0,$AD$4:AD207))</x:f>
      </x:c>
      <x:c r="AF207" s="199" t="str">
        <x:f>IF(AD207="","",AD207-AE207)</x:f>
      </x:c>
    </x:row>
    <x:row r="208">
      <x:c r="A208" s="192"/>
      <x:c r="B208" s="193"/>
      <x:c r="C208" s="193"/>
      <x:c r="D208" s="194"/>
      <x:c r="E208" s="194"/>
      <x:c r="F208" s="194"/>
      <x:c r="G208" s="194"/>
      <x:c r="H208" s="194"/>
      <x:c r="I208" s="194"/>
      <x:c r="J208" s="194"/>
      <x:c r="K208" s="194"/>
      <x:c r="L208" s="194"/>
      <x:c r="M208" s="195"/>
      <x:c r="N208" s="195"/>
      <x:c r="O208" s="195"/>
      <x:c r="P208" s="195"/>
      <x:c r="Q208" s="195"/>
      <x:c r="R208" s="195"/>
      <x:c r="S208" s="196" t="str">
        <x:f>IF(OR(M208="",N208="",Q208="",M208=0),"",ABS((M208-N208)/M208*Q208))</x:f>
      </x:c>
      <x:c r="T208" s="196" t="str">
        <x:f>IF(OR(M208="",N208="",O208="",M208=N208),"",ABS((O208-M208)/(M208-N208)))</x:f>
      </x:c>
      <x:c r="U208" s="195"/>
      <x:c r="V208" s="196" t="str">
        <x:f>IF(U208&lt;&gt;"",U208,IF(OR(P208="",M208="",Q208="",E208=""),"",IF(E208="做多",(P208-M208)/M208*Q208-R208,(M208-P208)/M208*Q208-R208)))</x:f>
      </x:c>
      <x:c r="W208" s="197" t="str">
        <x:f>IF(OR(V208="",S208="",S208=0),"",V208/S208)</x:f>
      </x:c>
      <x:c r="X208" s="198" t="str">
        <x:f>IF(V208="","",IF(V208&gt;0,"Win",IF(V208&lt;0,"Loss","BE")))</x:f>
      </x:c>
      <x:c r="Y208" s="194"/>
      <x:c r="Z208" s="194"/>
      <x:c r="AA208" s="194"/>
      <x:c r="AB208" s="194"/>
      <x:c r="AC208" s="194"/>
      <x:c r="AD208" s="196" t="str">
        <x:f>IF(A208="","",SUM($V$4:V208))</x:f>
      </x:c>
      <x:c r="AE208" s="196" t="str">
        <x:f>IF(AD208="","",MAX(0,$AD$4:AD208))</x:f>
      </x:c>
      <x:c r="AF208" s="199" t="str">
        <x:f>IF(AD208="","",AD208-AE208)</x:f>
      </x:c>
    </x:row>
    <x:row r="209">
      <x:c r="A209" s="192"/>
      <x:c r="B209" s="193"/>
      <x:c r="C209" s="193"/>
      <x:c r="D209" s="194"/>
      <x:c r="E209" s="194"/>
      <x:c r="F209" s="194"/>
      <x:c r="G209" s="194"/>
      <x:c r="H209" s="194"/>
      <x:c r="I209" s="194"/>
      <x:c r="J209" s="194"/>
      <x:c r="K209" s="194"/>
      <x:c r="L209" s="194"/>
      <x:c r="M209" s="195"/>
      <x:c r="N209" s="195"/>
      <x:c r="O209" s="195"/>
      <x:c r="P209" s="195"/>
      <x:c r="Q209" s="195"/>
      <x:c r="R209" s="195"/>
      <x:c r="S209" s="196" t="str">
        <x:f>IF(OR(M209="",N209="",Q209="",M209=0),"",ABS((M209-N209)/M209*Q209))</x:f>
      </x:c>
      <x:c r="T209" s="196" t="str">
        <x:f>IF(OR(M209="",N209="",O209="",M209=N209),"",ABS((O209-M209)/(M209-N209)))</x:f>
      </x:c>
      <x:c r="U209" s="195"/>
      <x:c r="V209" s="196" t="str">
        <x:f>IF(U209&lt;&gt;"",U209,IF(OR(P209="",M209="",Q209="",E209=""),"",IF(E209="做多",(P209-M209)/M209*Q209-R209,(M209-P209)/M209*Q209-R209)))</x:f>
      </x:c>
      <x:c r="W209" s="197" t="str">
        <x:f>IF(OR(V209="",S209="",S209=0),"",V209/S209)</x:f>
      </x:c>
      <x:c r="X209" s="198" t="str">
        <x:f>IF(V209="","",IF(V209&gt;0,"Win",IF(V209&lt;0,"Loss","BE")))</x:f>
      </x:c>
      <x:c r="Y209" s="194"/>
      <x:c r="Z209" s="194"/>
      <x:c r="AA209" s="194"/>
      <x:c r="AB209" s="194"/>
      <x:c r="AC209" s="194"/>
      <x:c r="AD209" s="196" t="str">
        <x:f>IF(A209="","",SUM($V$4:V209))</x:f>
      </x:c>
      <x:c r="AE209" s="196" t="str">
        <x:f>IF(AD209="","",MAX(0,$AD$4:AD209))</x:f>
      </x:c>
      <x:c r="AF209" s="199" t="str">
        <x:f>IF(AD209="","",AD209-AE209)</x:f>
      </x:c>
    </x:row>
    <x:row r="210">
      <x:c r="A210" s="192"/>
      <x:c r="B210" s="193"/>
      <x:c r="C210" s="193"/>
      <x:c r="D210" s="194"/>
      <x:c r="E210" s="194"/>
      <x:c r="F210" s="194"/>
      <x:c r="G210" s="194"/>
      <x:c r="H210" s="194"/>
      <x:c r="I210" s="194"/>
      <x:c r="J210" s="194"/>
      <x:c r="K210" s="194"/>
      <x:c r="L210" s="194"/>
      <x:c r="M210" s="195"/>
      <x:c r="N210" s="195"/>
      <x:c r="O210" s="195"/>
      <x:c r="P210" s="195"/>
      <x:c r="Q210" s="195"/>
      <x:c r="R210" s="195"/>
      <x:c r="S210" s="196" t="str">
        <x:f>IF(OR(M210="",N210="",Q210="",M210=0),"",ABS((M210-N210)/M210*Q210))</x:f>
      </x:c>
      <x:c r="T210" s="196" t="str">
        <x:f>IF(OR(M210="",N210="",O210="",M210=N210),"",ABS((O210-M210)/(M210-N210)))</x:f>
      </x:c>
      <x:c r="U210" s="195"/>
      <x:c r="V210" s="196" t="str">
        <x:f>IF(U210&lt;&gt;"",U210,IF(OR(P210="",M210="",Q210="",E210=""),"",IF(E210="做多",(P210-M210)/M210*Q210-R210,(M210-P210)/M210*Q210-R210)))</x:f>
      </x:c>
      <x:c r="W210" s="197" t="str">
        <x:f>IF(OR(V210="",S210="",S210=0),"",V210/S210)</x:f>
      </x:c>
      <x:c r="X210" s="198" t="str">
        <x:f>IF(V210="","",IF(V210&gt;0,"Win",IF(V210&lt;0,"Loss","BE")))</x:f>
      </x:c>
      <x:c r="Y210" s="194"/>
      <x:c r="Z210" s="194"/>
      <x:c r="AA210" s="194"/>
      <x:c r="AB210" s="194"/>
      <x:c r="AC210" s="194"/>
      <x:c r="AD210" s="196" t="str">
        <x:f>IF(A210="","",SUM($V$4:V210))</x:f>
      </x:c>
      <x:c r="AE210" s="196" t="str">
        <x:f>IF(AD210="","",MAX(0,$AD$4:AD210))</x:f>
      </x:c>
      <x:c r="AF210" s="199" t="str">
        <x:f>IF(AD210="","",AD210-AE210)</x:f>
      </x:c>
    </x:row>
    <x:row r="211">
      <x:c r="A211" s="192"/>
      <x:c r="B211" s="193"/>
      <x:c r="C211" s="193"/>
      <x:c r="D211" s="194"/>
      <x:c r="E211" s="194"/>
      <x:c r="F211" s="194"/>
      <x:c r="G211" s="194"/>
      <x:c r="H211" s="194"/>
      <x:c r="I211" s="194"/>
      <x:c r="J211" s="194"/>
      <x:c r="K211" s="194"/>
      <x:c r="L211" s="194"/>
      <x:c r="M211" s="195"/>
      <x:c r="N211" s="195"/>
      <x:c r="O211" s="195"/>
      <x:c r="P211" s="195"/>
      <x:c r="Q211" s="195"/>
      <x:c r="R211" s="195"/>
      <x:c r="S211" s="196" t="str">
        <x:f>IF(OR(M211="",N211="",Q211="",M211=0),"",ABS((M211-N211)/M211*Q211))</x:f>
      </x:c>
      <x:c r="T211" s="196" t="str">
        <x:f>IF(OR(M211="",N211="",O211="",M211=N211),"",ABS((O211-M211)/(M211-N211)))</x:f>
      </x:c>
      <x:c r="U211" s="195"/>
      <x:c r="V211" s="196" t="str">
        <x:f>IF(U211&lt;&gt;"",U211,IF(OR(P211="",M211="",Q211="",E211=""),"",IF(E211="做多",(P211-M211)/M211*Q211-R211,(M211-P211)/M211*Q211-R211)))</x:f>
      </x:c>
      <x:c r="W211" s="197" t="str">
        <x:f>IF(OR(V211="",S211="",S211=0),"",V211/S211)</x:f>
      </x:c>
      <x:c r="X211" s="198" t="str">
        <x:f>IF(V211="","",IF(V211&gt;0,"Win",IF(V211&lt;0,"Loss","BE")))</x:f>
      </x:c>
      <x:c r="Y211" s="194"/>
      <x:c r="Z211" s="194"/>
      <x:c r="AA211" s="194"/>
      <x:c r="AB211" s="194"/>
      <x:c r="AC211" s="194"/>
      <x:c r="AD211" s="196" t="str">
        <x:f>IF(A211="","",SUM($V$4:V211))</x:f>
      </x:c>
      <x:c r="AE211" s="196" t="str">
        <x:f>IF(AD211="","",MAX(0,$AD$4:AD211))</x:f>
      </x:c>
      <x:c r="AF211" s="199" t="str">
        <x:f>IF(AD211="","",AD211-AE211)</x:f>
      </x:c>
    </x:row>
    <x:row r="212">
      <x:c r="A212" s="192"/>
      <x:c r="B212" s="193"/>
      <x:c r="C212" s="193"/>
      <x:c r="D212" s="194"/>
      <x:c r="E212" s="194"/>
      <x:c r="F212" s="194"/>
      <x:c r="G212" s="194"/>
      <x:c r="H212" s="194"/>
      <x:c r="I212" s="194"/>
      <x:c r="J212" s="194"/>
      <x:c r="K212" s="194"/>
      <x:c r="L212" s="194"/>
      <x:c r="M212" s="195"/>
      <x:c r="N212" s="195"/>
      <x:c r="O212" s="195"/>
      <x:c r="P212" s="195"/>
      <x:c r="Q212" s="195"/>
      <x:c r="R212" s="195"/>
      <x:c r="S212" s="196" t="str">
        <x:f>IF(OR(M212="",N212="",Q212="",M212=0),"",ABS((M212-N212)/M212*Q212))</x:f>
      </x:c>
      <x:c r="T212" s="196" t="str">
        <x:f>IF(OR(M212="",N212="",O212="",M212=N212),"",ABS((O212-M212)/(M212-N212)))</x:f>
      </x:c>
      <x:c r="U212" s="195"/>
      <x:c r="V212" s="196" t="str">
        <x:f>IF(U212&lt;&gt;"",U212,IF(OR(P212="",M212="",Q212="",E212=""),"",IF(E212="做多",(P212-M212)/M212*Q212-R212,(M212-P212)/M212*Q212-R212)))</x:f>
      </x:c>
      <x:c r="W212" s="197" t="str">
        <x:f>IF(OR(V212="",S212="",S212=0),"",V212/S212)</x:f>
      </x:c>
      <x:c r="X212" s="198" t="str">
        <x:f>IF(V212="","",IF(V212&gt;0,"Win",IF(V212&lt;0,"Loss","BE")))</x:f>
      </x:c>
      <x:c r="Y212" s="194"/>
      <x:c r="Z212" s="194"/>
      <x:c r="AA212" s="194"/>
      <x:c r="AB212" s="194"/>
      <x:c r="AC212" s="194"/>
      <x:c r="AD212" s="196" t="str">
        <x:f>IF(A212="","",SUM($V$4:V212))</x:f>
      </x:c>
      <x:c r="AE212" s="196" t="str">
        <x:f>IF(AD212="","",MAX(0,$AD$4:AD212))</x:f>
      </x:c>
      <x:c r="AF212" s="199" t="str">
        <x:f>IF(AD212="","",AD212-AE212)</x:f>
      </x:c>
    </x:row>
    <x:row r="213">
      <x:c r="A213" s="192"/>
      <x:c r="B213" s="193"/>
      <x:c r="C213" s="193"/>
      <x:c r="D213" s="194"/>
      <x:c r="E213" s="194"/>
      <x:c r="F213" s="194"/>
      <x:c r="G213" s="194"/>
      <x:c r="H213" s="194"/>
      <x:c r="I213" s="194"/>
      <x:c r="J213" s="194"/>
      <x:c r="K213" s="194"/>
      <x:c r="L213" s="194"/>
      <x:c r="M213" s="195"/>
      <x:c r="N213" s="195"/>
      <x:c r="O213" s="195"/>
      <x:c r="P213" s="195"/>
      <x:c r="Q213" s="195"/>
      <x:c r="R213" s="195"/>
      <x:c r="S213" s="196" t="str">
        <x:f>IF(OR(M213="",N213="",Q213="",M213=0),"",ABS((M213-N213)/M213*Q213))</x:f>
      </x:c>
      <x:c r="T213" s="196" t="str">
        <x:f>IF(OR(M213="",N213="",O213="",M213=N213),"",ABS((O213-M213)/(M213-N213)))</x:f>
      </x:c>
      <x:c r="U213" s="195"/>
      <x:c r="V213" s="196" t="str">
        <x:f>IF(U213&lt;&gt;"",U213,IF(OR(P213="",M213="",Q213="",E213=""),"",IF(E213="做多",(P213-M213)/M213*Q213-R213,(M213-P213)/M213*Q213-R213)))</x:f>
      </x:c>
      <x:c r="W213" s="197" t="str">
        <x:f>IF(OR(V213="",S213="",S213=0),"",V213/S213)</x:f>
      </x:c>
      <x:c r="X213" s="198" t="str">
        <x:f>IF(V213="","",IF(V213&gt;0,"Win",IF(V213&lt;0,"Loss","BE")))</x:f>
      </x:c>
      <x:c r="Y213" s="194"/>
      <x:c r="Z213" s="194"/>
      <x:c r="AA213" s="194"/>
      <x:c r="AB213" s="194"/>
      <x:c r="AC213" s="194"/>
      <x:c r="AD213" s="196" t="str">
        <x:f>IF(A213="","",SUM($V$4:V213))</x:f>
      </x:c>
      <x:c r="AE213" s="196" t="str">
        <x:f>IF(AD213="","",MAX(0,$AD$4:AD213))</x:f>
      </x:c>
      <x:c r="AF213" s="199" t="str">
        <x:f>IF(AD213="","",AD213-AE213)</x:f>
      </x:c>
    </x:row>
    <x:row r="214">
      <x:c r="A214" s="192"/>
      <x:c r="B214" s="193"/>
      <x:c r="C214" s="193"/>
      <x:c r="D214" s="194"/>
      <x:c r="E214" s="194"/>
      <x:c r="F214" s="194"/>
      <x:c r="G214" s="194"/>
      <x:c r="H214" s="194"/>
      <x:c r="I214" s="194"/>
      <x:c r="J214" s="194"/>
      <x:c r="K214" s="194"/>
      <x:c r="L214" s="194"/>
      <x:c r="M214" s="195"/>
      <x:c r="N214" s="195"/>
      <x:c r="O214" s="195"/>
      <x:c r="P214" s="195"/>
      <x:c r="Q214" s="195"/>
      <x:c r="R214" s="195"/>
      <x:c r="S214" s="196" t="str">
        <x:f>IF(OR(M214="",N214="",Q214="",M214=0),"",ABS((M214-N214)/M214*Q214))</x:f>
      </x:c>
      <x:c r="T214" s="196" t="str">
        <x:f>IF(OR(M214="",N214="",O214="",M214=N214),"",ABS((O214-M214)/(M214-N214)))</x:f>
      </x:c>
      <x:c r="U214" s="195"/>
      <x:c r="V214" s="196" t="str">
        <x:f>IF(U214&lt;&gt;"",U214,IF(OR(P214="",M214="",Q214="",E214=""),"",IF(E214="做多",(P214-M214)/M214*Q214-R214,(M214-P214)/M214*Q214-R214)))</x:f>
      </x:c>
      <x:c r="W214" s="197" t="str">
        <x:f>IF(OR(V214="",S214="",S214=0),"",V214/S214)</x:f>
      </x:c>
      <x:c r="X214" s="198" t="str">
        <x:f>IF(V214="","",IF(V214&gt;0,"Win",IF(V214&lt;0,"Loss","BE")))</x:f>
      </x:c>
      <x:c r="Y214" s="194"/>
      <x:c r="Z214" s="194"/>
      <x:c r="AA214" s="194"/>
      <x:c r="AB214" s="194"/>
      <x:c r="AC214" s="194"/>
      <x:c r="AD214" s="196" t="str">
        <x:f>IF(A214="","",SUM($V$4:V214))</x:f>
      </x:c>
      <x:c r="AE214" s="196" t="str">
        <x:f>IF(AD214="","",MAX(0,$AD$4:AD214))</x:f>
      </x:c>
      <x:c r="AF214" s="199" t="str">
        <x:f>IF(AD214="","",AD214-AE214)</x:f>
      </x:c>
    </x:row>
    <x:row r="215">
      <x:c r="A215" s="192"/>
      <x:c r="B215" s="193"/>
      <x:c r="C215" s="193"/>
      <x:c r="D215" s="194"/>
      <x:c r="E215" s="194"/>
      <x:c r="F215" s="194"/>
      <x:c r="G215" s="194"/>
      <x:c r="H215" s="194"/>
      <x:c r="I215" s="194"/>
      <x:c r="J215" s="194"/>
      <x:c r="K215" s="194"/>
      <x:c r="L215" s="194"/>
      <x:c r="M215" s="195"/>
      <x:c r="N215" s="195"/>
      <x:c r="O215" s="195"/>
      <x:c r="P215" s="195"/>
      <x:c r="Q215" s="195"/>
      <x:c r="R215" s="195"/>
      <x:c r="S215" s="196" t="str">
        <x:f>IF(OR(M215="",N215="",Q215="",M215=0),"",ABS((M215-N215)/M215*Q215))</x:f>
      </x:c>
      <x:c r="T215" s="196" t="str">
        <x:f>IF(OR(M215="",N215="",O215="",M215=N215),"",ABS((O215-M215)/(M215-N215)))</x:f>
      </x:c>
      <x:c r="U215" s="195"/>
      <x:c r="V215" s="196" t="str">
        <x:f>IF(U215&lt;&gt;"",U215,IF(OR(P215="",M215="",Q215="",E215=""),"",IF(E215="做多",(P215-M215)/M215*Q215-R215,(M215-P215)/M215*Q215-R215)))</x:f>
      </x:c>
      <x:c r="W215" s="197" t="str">
        <x:f>IF(OR(V215="",S215="",S215=0),"",V215/S215)</x:f>
      </x:c>
      <x:c r="X215" s="198" t="str">
        <x:f>IF(V215="","",IF(V215&gt;0,"Win",IF(V215&lt;0,"Loss","BE")))</x:f>
      </x:c>
      <x:c r="Y215" s="194"/>
      <x:c r="Z215" s="194"/>
      <x:c r="AA215" s="194"/>
      <x:c r="AB215" s="194"/>
      <x:c r="AC215" s="194"/>
      <x:c r="AD215" s="196" t="str">
        <x:f>IF(A215="","",SUM($V$4:V215))</x:f>
      </x:c>
      <x:c r="AE215" s="196" t="str">
        <x:f>IF(AD215="","",MAX(0,$AD$4:AD215))</x:f>
      </x:c>
      <x:c r="AF215" s="199" t="str">
        <x:f>IF(AD215="","",AD215-AE215)</x:f>
      </x:c>
    </x:row>
    <x:row r="216">
      <x:c r="A216" s="192"/>
      <x:c r="B216" s="193"/>
      <x:c r="C216" s="193"/>
      <x:c r="D216" s="194"/>
      <x:c r="E216" s="194"/>
      <x:c r="F216" s="194"/>
      <x:c r="G216" s="194"/>
      <x:c r="H216" s="194"/>
      <x:c r="I216" s="194"/>
      <x:c r="J216" s="194"/>
      <x:c r="K216" s="194"/>
      <x:c r="L216" s="194"/>
      <x:c r="M216" s="195"/>
      <x:c r="N216" s="195"/>
      <x:c r="O216" s="195"/>
      <x:c r="P216" s="195"/>
      <x:c r="Q216" s="195"/>
      <x:c r="R216" s="195"/>
      <x:c r="S216" s="196" t="str">
        <x:f>IF(OR(M216="",N216="",Q216="",M216=0),"",ABS((M216-N216)/M216*Q216))</x:f>
      </x:c>
      <x:c r="T216" s="196" t="str">
        <x:f>IF(OR(M216="",N216="",O216="",M216=N216),"",ABS((O216-M216)/(M216-N216)))</x:f>
      </x:c>
      <x:c r="U216" s="195"/>
      <x:c r="V216" s="196" t="str">
        <x:f>IF(U216&lt;&gt;"",U216,IF(OR(P216="",M216="",Q216="",E216=""),"",IF(E216="做多",(P216-M216)/M216*Q216-R216,(M216-P216)/M216*Q216-R216)))</x:f>
      </x:c>
      <x:c r="W216" s="197" t="str">
        <x:f>IF(OR(V216="",S216="",S216=0),"",V216/S216)</x:f>
      </x:c>
      <x:c r="X216" s="198" t="str">
        <x:f>IF(V216="","",IF(V216&gt;0,"Win",IF(V216&lt;0,"Loss","BE")))</x:f>
      </x:c>
      <x:c r="Y216" s="194"/>
      <x:c r="Z216" s="194"/>
      <x:c r="AA216" s="194"/>
      <x:c r="AB216" s="194"/>
      <x:c r="AC216" s="194"/>
      <x:c r="AD216" s="196" t="str">
        <x:f>IF(A216="","",SUM($V$4:V216))</x:f>
      </x:c>
      <x:c r="AE216" s="196" t="str">
        <x:f>IF(AD216="","",MAX(0,$AD$4:AD216))</x:f>
      </x:c>
      <x:c r="AF216" s="199" t="str">
        <x:f>IF(AD216="","",AD216-AE216)</x:f>
      </x:c>
    </x:row>
    <x:row r="217">
      <x:c r="A217" s="192"/>
      <x:c r="B217" s="193"/>
      <x:c r="C217" s="193"/>
      <x:c r="D217" s="194"/>
      <x:c r="E217" s="194"/>
      <x:c r="F217" s="194"/>
      <x:c r="G217" s="194"/>
      <x:c r="H217" s="194"/>
      <x:c r="I217" s="194"/>
      <x:c r="J217" s="194"/>
      <x:c r="K217" s="194"/>
      <x:c r="L217" s="194"/>
      <x:c r="M217" s="195"/>
      <x:c r="N217" s="195"/>
      <x:c r="O217" s="195"/>
      <x:c r="P217" s="195"/>
      <x:c r="Q217" s="195"/>
      <x:c r="R217" s="195"/>
      <x:c r="S217" s="196" t="str">
        <x:f>IF(OR(M217="",N217="",Q217="",M217=0),"",ABS((M217-N217)/M217*Q217))</x:f>
      </x:c>
      <x:c r="T217" s="196" t="str">
        <x:f>IF(OR(M217="",N217="",O217="",M217=N217),"",ABS((O217-M217)/(M217-N217)))</x:f>
      </x:c>
      <x:c r="U217" s="195"/>
      <x:c r="V217" s="196" t="str">
        <x:f>IF(U217&lt;&gt;"",U217,IF(OR(P217="",M217="",Q217="",E217=""),"",IF(E217="做多",(P217-M217)/M217*Q217-R217,(M217-P217)/M217*Q217-R217)))</x:f>
      </x:c>
      <x:c r="W217" s="197" t="str">
        <x:f>IF(OR(V217="",S217="",S217=0),"",V217/S217)</x:f>
      </x:c>
      <x:c r="X217" s="198" t="str">
        <x:f>IF(V217="","",IF(V217&gt;0,"Win",IF(V217&lt;0,"Loss","BE")))</x:f>
      </x:c>
      <x:c r="Y217" s="194"/>
      <x:c r="Z217" s="194"/>
      <x:c r="AA217" s="194"/>
      <x:c r="AB217" s="194"/>
      <x:c r="AC217" s="194"/>
      <x:c r="AD217" s="196" t="str">
        <x:f>IF(A217="","",SUM($V$4:V217))</x:f>
      </x:c>
      <x:c r="AE217" s="196" t="str">
        <x:f>IF(AD217="","",MAX(0,$AD$4:AD217))</x:f>
      </x:c>
      <x:c r="AF217" s="199" t="str">
        <x:f>IF(AD217="","",AD217-AE217)</x:f>
      </x:c>
    </x:row>
    <x:row r="218">
      <x:c r="A218" s="192"/>
      <x:c r="B218" s="193"/>
      <x:c r="C218" s="193"/>
      <x:c r="D218" s="194"/>
      <x:c r="E218" s="194"/>
      <x:c r="F218" s="194"/>
      <x:c r="G218" s="194"/>
      <x:c r="H218" s="194"/>
      <x:c r="I218" s="194"/>
      <x:c r="J218" s="194"/>
      <x:c r="K218" s="194"/>
      <x:c r="L218" s="194"/>
      <x:c r="M218" s="195"/>
      <x:c r="N218" s="195"/>
      <x:c r="O218" s="195"/>
      <x:c r="P218" s="195"/>
      <x:c r="Q218" s="195"/>
      <x:c r="R218" s="195"/>
      <x:c r="S218" s="196" t="str">
        <x:f>IF(OR(M218="",N218="",Q218="",M218=0),"",ABS((M218-N218)/M218*Q218))</x:f>
      </x:c>
      <x:c r="T218" s="196" t="str">
        <x:f>IF(OR(M218="",N218="",O218="",M218=N218),"",ABS((O218-M218)/(M218-N218)))</x:f>
      </x:c>
      <x:c r="U218" s="195"/>
      <x:c r="V218" s="196" t="str">
        <x:f>IF(U218&lt;&gt;"",U218,IF(OR(P218="",M218="",Q218="",E218=""),"",IF(E218="做多",(P218-M218)/M218*Q218-R218,(M218-P218)/M218*Q218-R218)))</x:f>
      </x:c>
      <x:c r="W218" s="197" t="str">
        <x:f>IF(OR(V218="",S218="",S218=0),"",V218/S218)</x:f>
      </x:c>
      <x:c r="X218" s="198" t="str">
        <x:f>IF(V218="","",IF(V218&gt;0,"Win",IF(V218&lt;0,"Loss","BE")))</x:f>
      </x:c>
      <x:c r="Y218" s="194"/>
      <x:c r="Z218" s="194"/>
      <x:c r="AA218" s="194"/>
      <x:c r="AB218" s="194"/>
      <x:c r="AC218" s="194"/>
      <x:c r="AD218" s="196" t="str">
        <x:f>IF(A218="","",SUM($V$4:V218))</x:f>
      </x:c>
      <x:c r="AE218" s="196" t="str">
        <x:f>IF(AD218="","",MAX(0,$AD$4:AD218))</x:f>
      </x:c>
      <x:c r="AF218" s="199" t="str">
        <x:f>IF(AD218="","",AD218-AE218)</x:f>
      </x:c>
    </x:row>
    <x:row r="219">
      <x:c r="A219" s="192"/>
      <x:c r="B219" s="193"/>
      <x:c r="C219" s="193"/>
      <x:c r="D219" s="194"/>
      <x:c r="E219" s="194"/>
      <x:c r="F219" s="194"/>
      <x:c r="G219" s="194"/>
      <x:c r="H219" s="194"/>
      <x:c r="I219" s="194"/>
      <x:c r="J219" s="194"/>
      <x:c r="K219" s="194"/>
      <x:c r="L219" s="194"/>
      <x:c r="M219" s="195"/>
      <x:c r="N219" s="195"/>
      <x:c r="O219" s="195"/>
      <x:c r="P219" s="195"/>
      <x:c r="Q219" s="195"/>
      <x:c r="R219" s="195"/>
      <x:c r="S219" s="196" t="str">
        <x:f>IF(OR(M219="",N219="",Q219="",M219=0),"",ABS((M219-N219)/M219*Q219))</x:f>
      </x:c>
      <x:c r="T219" s="196" t="str">
        <x:f>IF(OR(M219="",N219="",O219="",M219=N219),"",ABS((O219-M219)/(M219-N219)))</x:f>
      </x:c>
      <x:c r="U219" s="195"/>
      <x:c r="V219" s="196" t="str">
        <x:f>IF(U219&lt;&gt;"",U219,IF(OR(P219="",M219="",Q219="",E219=""),"",IF(E219="做多",(P219-M219)/M219*Q219-R219,(M219-P219)/M219*Q219-R219)))</x:f>
      </x:c>
      <x:c r="W219" s="197" t="str">
        <x:f>IF(OR(V219="",S219="",S219=0),"",V219/S219)</x:f>
      </x:c>
      <x:c r="X219" s="198" t="str">
        <x:f>IF(V219="","",IF(V219&gt;0,"Win",IF(V219&lt;0,"Loss","BE")))</x:f>
      </x:c>
      <x:c r="Y219" s="194"/>
      <x:c r="Z219" s="194"/>
      <x:c r="AA219" s="194"/>
      <x:c r="AB219" s="194"/>
      <x:c r="AC219" s="194"/>
      <x:c r="AD219" s="196" t="str">
        <x:f>IF(A219="","",SUM($V$4:V219))</x:f>
      </x:c>
      <x:c r="AE219" s="196" t="str">
        <x:f>IF(AD219="","",MAX(0,$AD$4:AD219))</x:f>
      </x:c>
      <x:c r="AF219" s="199" t="str">
        <x:f>IF(AD219="","",AD219-AE219)</x:f>
      </x:c>
    </x:row>
    <x:row r="220">
      <x:c r="A220" s="192"/>
      <x:c r="B220" s="193"/>
      <x:c r="C220" s="193"/>
      <x:c r="D220" s="194"/>
      <x:c r="E220" s="194"/>
      <x:c r="F220" s="194"/>
      <x:c r="G220" s="194"/>
      <x:c r="H220" s="194"/>
      <x:c r="I220" s="194"/>
      <x:c r="J220" s="194"/>
      <x:c r="K220" s="194"/>
      <x:c r="L220" s="194"/>
      <x:c r="M220" s="195"/>
      <x:c r="N220" s="195"/>
      <x:c r="O220" s="195"/>
      <x:c r="P220" s="195"/>
      <x:c r="Q220" s="195"/>
      <x:c r="R220" s="195"/>
      <x:c r="S220" s="196" t="str">
        <x:f>IF(OR(M220="",N220="",Q220="",M220=0),"",ABS((M220-N220)/M220*Q220))</x:f>
      </x:c>
      <x:c r="T220" s="196" t="str">
        <x:f>IF(OR(M220="",N220="",O220="",M220=N220),"",ABS((O220-M220)/(M220-N220)))</x:f>
      </x:c>
      <x:c r="U220" s="195"/>
      <x:c r="V220" s="196" t="str">
        <x:f>IF(U220&lt;&gt;"",U220,IF(OR(P220="",M220="",Q220="",E220=""),"",IF(E220="做多",(P220-M220)/M220*Q220-R220,(M220-P220)/M220*Q220-R220)))</x:f>
      </x:c>
      <x:c r="W220" s="197" t="str">
        <x:f>IF(OR(V220="",S220="",S220=0),"",V220/S220)</x:f>
      </x:c>
      <x:c r="X220" s="198" t="str">
        <x:f>IF(V220="","",IF(V220&gt;0,"Win",IF(V220&lt;0,"Loss","BE")))</x:f>
      </x:c>
      <x:c r="Y220" s="194"/>
      <x:c r="Z220" s="194"/>
      <x:c r="AA220" s="194"/>
      <x:c r="AB220" s="194"/>
      <x:c r="AC220" s="194"/>
      <x:c r="AD220" s="196" t="str">
        <x:f>IF(A220="","",SUM($V$4:V220))</x:f>
      </x:c>
      <x:c r="AE220" s="196" t="str">
        <x:f>IF(AD220="","",MAX(0,$AD$4:AD220))</x:f>
      </x:c>
      <x:c r="AF220" s="199" t="str">
        <x:f>IF(AD220="","",AD220-AE220)</x:f>
      </x:c>
    </x:row>
    <x:row r="221">
      <x:c r="A221" s="192"/>
      <x:c r="B221" s="193"/>
      <x:c r="C221" s="193"/>
      <x:c r="D221" s="194"/>
      <x:c r="E221" s="194"/>
      <x:c r="F221" s="194"/>
      <x:c r="G221" s="194"/>
      <x:c r="H221" s="194"/>
      <x:c r="I221" s="194"/>
      <x:c r="J221" s="194"/>
      <x:c r="K221" s="194"/>
      <x:c r="L221" s="194"/>
      <x:c r="M221" s="195"/>
      <x:c r="N221" s="195"/>
      <x:c r="O221" s="195"/>
      <x:c r="P221" s="195"/>
      <x:c r="Q221" s="195"/>
      <x:c r="R221" s="195"/>
      <x:c r="S221" s="196" t="str">
        <x:f>IF(OR(M221="",N221="",Q221="",M221=0),"",ABS((M221-N221)/M221*Q221))</x:f>
      </x:c>
      <x:c r="T221" s="196" t="str">
        <x:f>IF(OR(M221="",N221="",O221="",M221=N221),"",ABS((O221-M221)/(M221-N221)))</x:f>
      </x:c>
      <x:c r="U221" s="195"/>
      <x:c r="V221" s="196" t="str">
        <x:f>IF(U221&lt;&gt;"",U221,IF(OR(P221="",M221="",Q221="",E221=""),"",IF(E221="做多",(P221-M221)/M221*Q221-R221,(M221-P221)/M221*Q221-R221)))</x:f>
      </x:c>
      <x:c r="W221" s="197" t="str">
        <x:f>IF(OR(V221="",S221="",S221=0),"",V221/S221)</x:f>
      </x:c>
      <x:c r="X221" s="198" t="str">
        <x:f>IF(V221="","",IF(V221&gt;0,"Win",IF(V221&lt;0,"Loss","BE")))</x:f>
      </x:c>
      <x:c r="Y221" s="194"/>
      <x:c r="Z221" s="194"/>
      <x:c r="AA221" s="194"/>
      <x:c r="AB221" s="194"/>
      <x:c r="AC221" s="194"/>
      <x:c r="AD221" s="196" t="str">
        <x:f>IF(A221="","",SUM($V$4:V221))</x:f>
      </x:c>
      <x:c r="AE221" s="196" t="str">
        <x:f>IF(AD221="","",MAX(0,$AD$4:AD221))</x:f>
      </x:c>
      <x:c r="AF221" s="199" t="str">
        <x:f>IF(AD221="","",AD221-AE221)</x:f>
      </x:c>
    </x:row>
    <x:row r="222">
      <x:c r="A222" s="192"/>
      <x:c r="B222" s="193"/>
      <x:c r="C222" s="193"/>
      <x:c r="D222" s="194"/>
      <x:c r="E222" s="194"/>
      <x:c r="F222" s="194"/>
      <x:c r="G222" s="194"/>
      <x:c r="H222" s="194"/>
      <x:c r="I222" s="194"/>
      <x:c r="J222" s="194"/>
      <x:c r="K222" s="194"/>
      <x:c r="L222" s="194"/>
      <x:c r="M222" s="195"/>
      <x:c r="N222" s="195"/>
      <x:c r="O222" s="195"/>
      <x:c r="P222" s="195"/>
      <x:c r="Q222" s="195"/>
      <x:c r="R222" s="195"/>
      <x:c r="S222" s="196" t="str">
        <x:f>IF(OR(M222="",N222="",Q222="",M222=0),"",ABS((M222-N222)/M222*Q222))</x:f>
      </x:c>
      <x:c r="T222" s="196" t="str">
        <x:f>IF(OR(M222="",N222="",O222="",M222=N222),"",ABS((O222-M222)/(M222-N222)))</x:f>
      </x:c>
      <x:c r="U222" s="195"/>
      <x:c r="V222" s="196" t="str">
        <x:f>IF(U222&lt;&gt;"",U222,IF(OR(P222="",M222="",Q222="",E222=""),"",IF(E222="做多",(P222-M222)/M222*Q222-R222,(M222-P222)/M222*Q222-R222)))</x:f>
      </x:c>
      <x:c r="W222" s="197" t="str">
        <x:f>IF(OR(V222="",S222="",S222=0),"",V222/S222)</x:f>
      </x:c>
      <x:c r="X222" s="198" t="str">
        <x:f>IF(V222="","",IF(V222&gt;0,"Win",IF(V222&lt;0,"Loss","BE")))</x:f>
      </x:c>
      <x:c r="Y222" s="194"/>
      <x:c r="Z222" s="194"/>
      <x:c r="AA222" s="194"/>
      <x:c r="AB222" s="194"/>
      <x:c r="AC222" s="194"/>
      <x:c r="AD222" s="196" t="str">
        <x:f>IF(A222="","",SUM($V$4:V222))</x:f>
      </x:c>
      <x:c r="AE222" s="196" t="str">
        <x:f>IF(AD222="","",MAX(0,$AD$4:AD222))</x:f>
      </x:c>
      <x:c r="AF222" s="199" t="str">
        <x:f>IF(AD222="","",AD222-AE222)</x:f>
      </x:c>
    </x:row>
    <x:row r="223">
      <x:c r="A223" s="192"/>
      <x:c r="B223" s="193"/>
      <x:c r="C223" s="193"/>
      <x:c r="D223" s="194"/>
      <x:c r="E223" s="194"/>
      <x:c r="F223" s="194"/>
      <x:c r="G223" s="194"/>
      <x:c r="H223" s="194"/>
      <x:c r="I223" s="194"/>
      <x:c r="J223" s="194"/>
      <x:c r="K223" s="194"/>
      <x:c r="L223" s="194"/>
      <x:c r="M223" s="195"/>
      <x:c r="N223" s="195"/>
      <x:c r="O223" s="195"/>
      <x:c r="P223" s="195"/>
      <x:c r="Q223" s="195"/>
      <x:c r="R223" s="195"/>
      <x:c r="S223" s="196" t="str">
        <x:f>IF(OR(M223="",N223="",Q223="",M223=0),"",ABS((M223-N223)/M223*Q223))</x:f>
      </x:c>
      <x:c r="T223" s="196" t="str">
        <x:f>IF(OR(M223="",N223="",O223="",M223=N223),"",ABS((O223-M223)/(M223-N223)))</x:f>
      </x:c>
      <x:c r="U223" s="195"/>
      <x:c r="V223" s="196" t="str">
        <x:f>IF(U223&lt;&gt;"",U223,IF(OR(P223="",M223="",Q223="",E223=""),"",IF(E223="做多",(P223-M223)/M223*Q223-R223,(M223-P223)/M223*Q223-R223)))</x:f>
      </x:c>
      <x:c r="W223" s="197" t="str">
        <x:f>IF(OR(V223="",S223="",S223=0),"",V223/S223)</x:f>
      </x:c>
      <x:c r="X223" s="198" t="str">
        <x:f>IF(V223="","",IF(V223&gt;0,"Win",IF(V223&lt;0,"Loss","BE")))</x:f>
      </x:c>
      <x:c r="Y223" s="194"/>
      <x:c r="Z223" s="194"/>
      <x:c r="AA223" s="194"/>
      <x:c r="AB223" s="194"/>
      <x:c r="AC223" s="194"/>
      <x:c r="AD223" s="196" t="str">
        <x:f>IF(A223="","",SUM($V$4:V223))</x:f>
      </x:c>
      <x:c r="AE223" s="196" t="str">
        <x:f>IF(AD223="","",MAX(0,$AD$4:AD223))</x:f>
      </x:c>
      <x:c r="AF223" s="199" t="str">
        <x:f>IF(AD223="","",AD223-AE223)</x:f>
      </x:c>
    </x:row>
    <x:row r="224">
      <x:c r="A224" s="192"/>
      <x:c r="B224" s="193"/>
      <x:c r="C224" s="193"/>
      <x:c r="D224" s="194"/>
      <x:c r="E224" s="194"/>
      <x:c r="F224" s="194"/>
      <x:c r="G224" s="194"/>
      <x:c r="H224" s="194"/>
      <x:c r="I224" s="194"/>
      <x:c r="J224" s="194"/>
      <x:c r="K224" s="194"/>
      <x:c r="L224" s="194"/>
      <x:c r="M224" s="195"/>
      <x:c r="N224" s="195"/>
      <x:c r="O224" s="195"/>
      <x:c r="P224" s="195"/>
      <x:c r="Q224" s="195"/>
      <x:c r="R224" s="195"/>
      <x:c r="S224" s="196" t="str">
        <x:f>IF(OR(M224="",N224="",Q224="",M224=0),"",ABS((M224-N224)/M224*Q224))</x:f>
      </x:c>
      <x:c r="T224" s="196" t="str">
        <x:f>IF(OR(M224="",N224="",O224="",M224=N224),"",ABS((O224-M224)/(M224-N224)))</x:f>
      </x:c>
      <x:c r="U224" s="195"/>
      <x:c r="V224" s="196" t="str">
        <x:f>IF(U224&lt;&gt;"",U224,IF(OR(P224="",M224="",Q224="",E224=""),"",IF(E224="做多",(P224-M224)/M224*Q224-R224,(M224-P224)/M224*Q224-R224)))</x:f>
      </x:c>
      <x:c r="W224" s="197" t="str">
        <x:f>IF(OR(V224="",S224="",S224=0),"",V224/S224)</x:f>
      </x:c>
      <x:c r="X224" s="198" t="str">
        <x:f>IF(V224="","",IF(V224&gt;0,"Win",IF(V224&lt;0,"Loss","BE")))</x:f>
      </x:c>
      <x:c r="Y224" s="194"/>
      <x:c r="Z224" s="194"/>
      <x:c r="AA224" s="194"/>
      <x:c r="AB224" s="194"/>
      <x:c r="AC224" s="194"/>
      <x:c r="AD224" s="196" t="str">
        <x:f>IF(A224="","",SUM($V$4:V224))</x:f>
      </x:c>
      <x:c r="AE224" s="196" t="str">
        <x:f>IF(AD224="","",MAX(0,$AD$4:AD224))</x:f>
      </x:c>
      <x:c r="AF224" s="199" t="str">
        <x:f>IF(AD224="","",AD224-AE224)</x:f>
      </x:c>
    </x:row>
    <x:row r="225">
      <x:c r="A225" s="192"/>
      <x:c r="B225" s="193"/>
      <x:c r="C225" s="193"/>
      <x:c r="D225" s="194"/>
      <x:c r="E225" s="194"/>
      <x:c r="F225" s="194"/>
      <x:c r="G225" s="194"/>
      <x:c r="H225" s="194"/>
      <x:c r="I225" s="194"/>
      <x:c r="J225" s="194"/>
      <x:c r="K225" s="194"/>
      <x:c r="L225" s="194"/>
      <x:c r="M225" s="195"/>
      <x:c r="N225" s="195"/>
      <x:c r="O225" s="195"/>
      <x:c r="P225" s="195"/>
      <x:c r="Q225" s="195"/>
      <x:c r="R225" s="195"/>
      <x:c r="S225" s="196" t="str">
        <x:f>IF(OR(M225="",N225="",Q225="",M225=0),"",ABS((M225-N225)/M225*Q225))</x:f>
      </x:c>
      <x:c r="T225" s="196" t="str">
        <x:f>IF(OR(M225="",N225="",O225="",M225=N225),"",ABS((O225-M225)/(M225-N225)))</x:f>
      </x:c>
      <x:c r="U225" s="195"/>
      <x:c r="V225" s="196" t="str">
        <x:f>IF(U225&lt;&gt;"",U225,IF(OR(P225="",M225="",Q225="",E225=""),"",IF(E225="做多",(P225-M225)/M225*Q225-R225,(M225-P225)/M225*Q225-R225)))</x:f>
      </x:c>
      <x:c r="W225" s="197" t="str">
        <x:f>IF(OR(V225="",S225="",S225=0),"",V225/S225)</x:f>
      </x:c>
      <x:c r="X225" s="198" t="str">
        <x:f>IF(V225="","",IF(V225&gt;0,"Win",IF(V225&lt;0,"Loss","BE")))</x:f>
      </x:c>
      <x:c r="Y225" s="194"/>
      <x:c r="Z225" s="194"/>
      <x:c r="AA225" s="194"/>
      <x:c r="AB225" s="194"/>
      <x:c r="AC225" s="194"/>
      <x:c r="AD225" s="196" t="str">
        <x:f>IF(A225="","",SUM($V$4:V225))</x:f>
      </x:c>
      <x:c r="AE225" s="196" t="str">
        <x:f>IF(AD225="","",MAX(0,$AD$4:AD225))</x:f>
      </x:c>
      <x:c r="AF225" s="199" t="str">
        <x:f>IF(AD225="","",AD225-AE225)</x:f>
      </x:c>
    </x:row>
    <x:row r="226">
      <x:c r="A226" s="192"/>
      <x:c r="B226" s="193"/>
      <x:c r="C226" s="193"/>
      <x:c r="D226" s="194"/>
      <x:c r="E226" s="194"/>
      <x:c r="F226" s="194"/>
      <x:c r="G226" s="194"/>
      <x:c r="H226" s="194"/>
      <x:c r="I226" s="194"/>
      <x:c r="J226" s="194"/>
      <x:c r="K226" s="194"/>
      <x:c r="L226" s="194"/>
      <x:c r="M226" s="195"/>
      <x:c r="N226" s="195"/>
      <x:c r="O226" s="195"/>
      <x:c r="P226" s="195"/>
      <x:c r="Q226" s="195"/>
      <x:c r="R226" s="195"/>
      <x:c r="S226" s="196" t="str">
        <x:f>IF(OR(M226="",N226="",Q226="",M226=0),"",ABS((M226-N226)/M226*Q226))</x:f>
      </x:c>
      <x:c r="T226" s="196" t="str">
        <x:f>IF(OR(M226="",N226="",O226="",M226=N226),"",ABS((O226-M226)/(M226-N226)))</x:f>
      </x:c>
      <x:c r="U226" s="195"/>
      <x:c r="V226" s="196" t="str">
        <x:f>IF(U226&lt;&gt;"",U226,IF(OR(P226="",M226="",Q226="",E226=""),"",IF(E226="做多",(P226-M226)/M226*Q226-R226,(M226-P226)/M226*Q226-R226)))</x:f>
      </x:c>
      <x:c r="W226" s="197" t="str">
        <x:f>IF(OR(V226="",S226="",S226=0),"",V226/S226)</x:f>
      </x:c>
      <x:c r="X226" s="198" t="str">
        <x:f>IF(V226="","",IF(V226&gt;0,"Win",IF(V226&lt;0,"Loss","BE")))</x:f>
      </x:c>
      <x:c r="Y226" s="194"/>
      <x:c r="Z226" s="194"/>
      <x:c r="AA226" s="194"/>
      <x:c r="AB226" s="194"/>
      <x:c r="AC226" s="194"/>
      <x:c r="AD226" s="196" t="str">
        <x:f>IF(A226="","",SUM($V$4:V226))</x:f>
      </x:c>
      <x:c r="AE226" s="196" t="str">
        <x:f>IF(AD226="","",MAX(0,$AD$4:AD226))</x:f>
      </x:c>
      <x:c r="AF226" s="199" t="str">
        <x:f>IF(AD226="","",AD226-AE226)</x:f>
      </x:c>
    </x:row>
    <x:row r="227">
      <x:c r="A227" s="192"/>
      <x:c r="B227" s="193"/>
      <x:c r="C227" s="193"/>
      <x:c r="D227" s="194"/>
      <x:c r="E227" s="194"/>
      <x:c r="F227" s="194"/>
      <x:c r="G227" s="194"/>
      <x:c r="H227" s="194"/>
      <x:c r="I227" s="194"/>
      <x:c r="J227" s="194"/>
      <x:c r="K227" s="194"/>
      <x:c r="L227" s="194"/>
      <x:c r="M227" s="195"/>
      <x:c r="N227" s="195"/>
      <x:c r="O227" s="195"/>
      <x:c r="P227" s="195"/>
      <x:c r="Q227" s="195"/>
      <x:c r="R227" s="195"/>
      <x:c r="S227" s="196" t="str">
        <x:f>IF(OR(M227="",N227="",Q227="",M227=0),"",ABS((M227-N227)/M227*Q227))</x:f>
      </x:c>
      <x:c r="T227" s="196" t="str">
        <x:f>IF(OR(M227="",N227="",O227="",M227=N227),"",ABS((O227-M227)/(M227-N227)))</x:f>
      </x:c>
      <x:c r="U227" s="195"/>
      <x:c r="V227" s="196" t="str">
        <x:f>IF(U227&lt;&gt;"",U227,IF(OR(P227="",M227="",Q227="",E227=""),"",IF(E227="做多",(P227-M227)/M227*Q227-R227,(M227-P227)/M227*Q227-R227)))</x:f>
      </x:c>
      <x:c r="W227" s="197" t="str">
        <x:f>IF(OR(V227="",S227="",S227=0),"",V227/S227)</x:f>
      </x:c>
      <x:c r="X227" s="198" t="str">
        <x:f>IF(V227="","",IF(V227&gt;0,"Win",IF(V227&lt;0,"Loss","BE")))</x:f>
      </x:c>
      <x:c r="Y227" s="194"/>
      <x:c r="Z227" s="194"/>
      <x:c r="AA227" s="194"/>
      <x:c r="AB227" s="194"/>
      <x:c r="AC227" s="194"/>
      <x:c r="AD227" s="196" t="str">
        <x:f>IF(A227="","",SUM($V$4:V227))</x:f>
      </x:c>
      <x:c r="AE227" s="196" t="str">
        <x:f>IF(AD227="","",MAX(0,$AD$4:AD227))</x:f>
      </x:c>
      <x:c r="AF227" s="199" t="str">
        <x:f>IF(AD227="","",AD227-AE227)</x:f>
      </x:c>
    </x:row>
    <x:row r="228">
      <x:c r="A228" s="192"/>
      <x:c r="B228" s="193"/>
      <x:c r="C228" s="193"/>
      <x:c r="D228" s="194"/>
      <x:c r="E228" s="194"/>
      <x:c r="F228" s="194"/>
      <x:c r="G228" s="194"/>
      <x:c r="H228" s="194"/>
      <x:c r="I228" s="194"/>
      <x:c r="J228" s="194"/>
      <x:c r="K228" s="194"/>
      <x:c r="L228" s="194"/>
      <x:c r="M228" s="195"/>
      <x:c r="N228" s="195"/>
      <x:c r="O228" s="195"/>
      <x:c r="P228" s="195"/>
      <x:c r="Q228" s="195"/>
      <x:c r="R228" s="195"/>
      <x:c r="S228" s="196" t="str">
        <x:f>IF(OR(M228="",N228="",Q228="",M228=0),"",ABS((M228-N228)/M228*Q228))</x:f>
      </x:c>
      <x:c r="T228" s="196" t="str">
        <x:f>IF(OR(M228="",N228="",O228="",M228=N228),"",ABS((O228-M228)/(M228-N228)))</x:f>
      </x:c>
      <x:c r="U228" s="195"/>
      <x:c r="V228" s="196" t="str">
        <x:f>IF(U228&lt;&gt;"",U228,IF(OR(P228="",M228="",Q228="",E228=""),"",IF(E228="做多",(P228-M228)/M228*Q228-R228,(M228-P228)/M228*Q228-R228)))</x:f>
      </x:c>
      <x:c r="W228" s="197" t="str">
        <x:f>IF(OR(V228="",S228="",S228=0),"",V228/S228)</x:f>
      </x:c>
      <x:c r="X228" s="198" t="str">
        <x:f>IF(V228="","",IF(V228&gt;0,"Win",IF(V228&lt;0,"Loss","BE")))</x:f>
      </x:c>
      <x:c r="Y228" s="194"/>
      <x:c r="Z228" s="194"/>
      <x:c r="AA228" s="194"/>
      <x:c r="AB228" s="194"/>
      <x:c r="AC228" s="194"/>
      <x:c r="AD228" s="196" t="str">
        <x:f>IF(A228="","",SUM($V$4:V228))</x:f>
      </x:c>
      <x:c r="AE228" s="196" t="str">
        <x:f>IF(AD228="","",MAX(0,$AD$4:AD228))</x:f>
      </x:c>
      <x:c r="AF228" s="199" t="str">
        <x:f>IF(AD228="","",AD228-AE228)</x:f>
      </x:c>
    </x:row>
    <x:row r="229">
      <x:c r="A229" s="192"/>
      <x:c r="B229" s="193"/>
      <x:c r="C229" s="193"/>
      <x:c r="D229" s="194"/>
      <x:c r="E229" s="194"/>
      <x:c r="F229" s="194"/>
      <x:c r="G229" s="194"/>
      <x:c r="H229" s="194"/>
      <x:c r="I229" s="194"/>
      <x:c r="J229" s="194"/>
      <x:c r="K229" s="194"/>
      <x:c r="L229" s="194"/>
      <x:c r="M229" s="195"/>
      <x:c r="N229" s="195"/>
      <x:c r="O229" s="195"/>
      <x:c r="P229" s="195"/>
      <x:c r="Q229" s="195"/>
      <x:c r="R229" s="195"/>
      <x:c r="S229" s="196" t="str">
        <x:f>IF(OR(M229="",N229="",Q229="",M229=0),"",ABS((M229-N229)/M229*Q229))</x:f>
      </x:c>
      <x:c r="T229" s="196" t="str">
        <x:f>IF(OR(M229="",N229="",O229="",M229=N229),"",ABS((O229-M229)/(M229-N229)))</x:f>
      </x:c>
      <x:c r="U229" s="195"/>
      <x:c r="V229" s="196" t="str">
        <x:f>IF(U229&lt;&gt;"",U229,IF(OR(P229="",M229="",Q229="",E229=""),"",IF(E229="做多",(P229-M229)/M229*Q229-R229,(M229-P229)/M229*Q229-R229)))</x:f>
      </x:c>
      <x:c r="W229" s="197" t="str">
        <x:f>IF(OR(V229="",S229="",S229=0),"",V229/S229)</x:f>
      </x:c>
      <x:c r="X229" s="198" t="str">
        <x:f>IF(V229="","",IF(V229&gt;0,"Win",IF(V229&lt;0,"Loss","BE")))</x:f>
      </x:c>
      <x:c r="Y229" s="194"/>
      <x:c r="Z229" s="194"/>
      <x:c r="AA229" s="194"/>
      <x:c r="AB229" s="194"/>
      <x:c r="AC229" s="194"/>
      <x:c r="AD229" s="196" t="str">
        <x:f>IF(A229="","",SUM($V$4:V229))</x:f>
      </x:c>
      <x:c r="AE229" s="196" t="str">
        <x:f>IF(AD229="","",MAX(0,$AD$4:AD229))</x:f>
      </x:c>
      <x:c r="AF229" s="199" t="str">
        <x:f>IF(AD229="","",AD229-AE229)</x:f>
      </x:c>
    </x:row>
    <x:row r="230">
      <x:c r="A230" s="192"/>
      <x:c r="B230" s="193"/>
      <x:c r="C230" s="193"/>
      <x:c r="D230" s="194"/>
      <x:c r="E230" s="194"/>
      <x:c r="F230" s="194"/>
      <x:c r="G230" s="194"/>
      <x:c r="H230" s="194"/>
      <x:c r="I230" s="194"/>
      <x:c r="J230" s="194"/>
      <x:c r="K230" s="194"/>
      <x:c r="L230" s="194"/>
      <x:c r="M230" s="195"/>
      <x:c r="N230" s="195"/>
      <x:c r="O230" s="195"/>
      <x:c r="P230" s="195"/>
      <x:c r="Q230" s="195"/>
      <x:c r="R230" s="195"/>
      <x:c r="S230" s="196" t="str">
        <x:f>IF(OR(M230="",N230="",Q230="",M230=0),"",ABS((M230-N230)/M230*Q230))</x:f>
      </x:c>
      <x:c r="T230" s="196" t="str">
        <x:f>IF(OR(M230="",N230="",O230="",M230=N230),"",ABS((O230-M230)/(M230-N230)))</x:f>
      </x:c>
      <x:c r="U230" s="195"/>
      <x:c r="V230" s="196" t="str">
        <x:f>IF(U230&lt;&gt;"",U230,IF(OR(P230="",M230="",Q230="",E230=""),"",IF(E230="做多",(P230-M230)/M230*Q230-R230,(M230-P230)/M230*Q230-R230)))</x:f>
      </x:c>
      <x:c r="W230" s="197" t="str">
        <x:f>IF(OR(V230="",S230="",S230=0),"",V230/S230)</x:f>
      </x:c>
      <x:c r="X230" s="198" t="str">
        <x:f>IF(V230="","",IF(V230&gt;0,"Win",IF(V230&lt;0,"Loss","BE")))</x:f>
      </x:c>
      <x:c r="Y230" s="194"/>
      <x:c r="Z230" s="194"/>
      <x:c r="AA230" s="194"/>
      <x:c r="AB230" s="194"/>
      <x:c r="AC230" s="194"/>
      <x:c r="AD230" s="196" t="str">
        <x:f>IF(A230="","",SUM($V$4:V230))</x:f>
      </x:c>
      <x:c r="AE230" s="196" t="str">
        <x:f>IF(AD230="","",MAX(0,$AD$4:AD230))</x:f>
      </x:c>
      <x:c r="AF230" s="199" t="str">
        <x:f>IF(AD230="","",AD230-AE230)</x:f>
      </x:c>
    </x:row>
    <x:row r="231">
      <x:c r="A231" s="192"/>
      <x:c r="B231" s="193"/>
      <x:c r="C231" s="193"/>
      <x:c r="D231" s="194"/>
      <x:c r="E231" s="194"/>
      <x:c r="F231" s="194"/>
      <x:c r="G231" s="194"/>
      <x:c r="H231" s="194"/>
      <x:c r="I231" s="194"/>
      <x:c r="J231" s="194"/>
      <x:c r="K231" s="194"/>
      <x:c r="L231" s="194"/>
      <x:c r="M231" s="195"/>
      <x:c r="N231" s="195"/>
      <x:c r="O231" s="195"/>
      <x:c r="P231" s="195"/>
      <x:c r="Q231" s="195"/>
      <x:c r="R231" s="195"/>
      <x:c r="S231" s="196" t="str">
        <x:f>IF(OR(M231="",N231="",Q231="",M231=0),"",ABS((M231-N231)/M231*Q231))</x:f>
      </x:c>
      <x:c r="T231" s="196" t="str">
        <x:f>IF(OR(M231="",N231="",O231="",M231=N231),"",ABS((O231-M231)/(M231-N231)))</x:f>
      </x:c>
      <x:c r="U231" s="195"/>
      <x:c r="V231" s="196" t="str">
        <x:f>IF(U231&lt;&gt;"",U231,IF(OR(P231="",M231="",Q231="",E231=""),"",IF(E231="做多",(P231-M231)/M231*Q231-R231,(M231-P231)/M231*Q231-R231)))</x:f>
      </x:c>
      <x:c r="W231" s="197" t="str">
        <x:f>IF(OR(V231="",S231="",S231=0),"",V231/S231)</x:f>
      </x:c>
      <x:c r="X231" s="198" t="str">
        <x:f>IF(V231="","",IF(V231&gt;0,"Win",IF(V231&lt;0,"Loss","BE")))</x:f>
      </x:c>
      <x:c r="Y231" s="194"/>
      <x:c r="Z231" s="194"/>
      <x:c r="AA231" s="194"/>
      <x:c r="AB231" s="194"/>
      <x:c r="AC231" s="194"/>
      <x:c r="AD231" s="196" t="str">
        <x:f>IF(A231="","",SUM($V$4:V231))</x:f>
      </x:c>
      <x:c r="AE231" s="196" t="str">
        <x:f>IF(AD231="","",MAX(0,$AD$4:AD231))</x:f>
      </x:c>
      <x:c r="AF231" s="199" t="str">
        <x:f>IF(AD231="","",AD231-AE231)</x:f>
      </x:c>
    </x:row>
    <x:row r="232">
      <x:c r="A232" s="192"/>
      <x:c r="B232" s="193"/>
      <x:c r="C232" s="193"/>
      <x:c r="D232" s="194"/>
      <x:c r="E232" s="194"/>
      <x:c r="F232" s="194"/>
      <x:c r="G232" s="194"/>
      <x:c r="H232" s="194"/>
      <x:c r="I232" s="194"/>
      <x:c r="J232" s="194"/>
      <x:c r="K232" s="194"/>
      <x:c r="L232" s="194"/>
      <x:c r="M232" s="195"/>
      <x:c r="N232" s="195"/>
      <x:c r="O232" s="195"/>
      <x:c r="P232" s="195"/>
      <x:c r="Q232" s="195"/>
      <x:c r="R232" s="195"/>
      <x:c r="S232" s="196" t="str">
        <x:f>IF(OR(M232="",N232="",Q232="",M232=0),"",ABS((M232-N232)/M232*Q232))</x:f>
      </x:c>
      <x:c r="T232" s="196" t="str">
        <x:f>IF(OR(M232="",N232="",O232="",M232=N232),"",ABS((O232-M232)/(M232-N232)))</x:f>
      </x:c>
      <x:c r="U232" s="195"/>
      <x:c r="V232" s="196" t="str">
        <x:f>IF(U232&lt;&gt;"",U232,IF(OR(P232="",M232="",Q232="",E232=""),"",IF(E232="做多",(P232-M232)/M232*Q232-R232,(M232-P232)/M232*Q232-R232)))</x:f>
      </x:c>
      <x:c r="W232" s="197" t="str">
        <x:f>IF(OR(V232="",S232="",S232=0),"",V232/S232)</x:f>
      </x:c>
      <x:c r="X232" s="198" t="str">
        <x:f>IF(V232="","",IF(V232&gt;0,"Win",IF(V232&lt;0,"Loss","BE")))</x:f>
      </x:c>
      <x:c r="Y232" s="194"/>
      <x:c r="Z232" s="194"/>
      <x:c r="AA232" s="194"/>
      <x:c r="AB232" s="194"/>
      <x:c r="AC232" s="194"/>
      <x:c r="AD232" s="196" t="str">
        <x:f>IF(A232="","",SUM($V$4:V232))</x:f>
      </x:c>
      <x:c r="AE232" s="196" t="str">
        <x:f>IF(AD232="","",MAX(0,$AD$4:AD232))</x:f>
      </x:c>
      <x:c r="AF232" s="199" t="str">
        <x:f>IF(AD232="","",AD232-AE232)</x:f>
      </x:c>
    </x:row>
    <x:row r="233">
      <x:c r="A233" s="192"/>
      <x:c r="B233" s="193"/>
      <x:c r="C233" s="193"/>
      <x:c r="D233" s="194"/>
      <x:c r="E233" s="194"/>
      <x:c r="F233" s="194"/>
      <x:c r="G233" s="194"/>
      <x:c r="H233" s="194"/>
      <x:c r="I233" s="194"/>
      <x:c r="J233" s="194"/>
      <x:c r="K233" s="194"/>
      <x:c r="L233" s="194"/>
      <x:c r="M233" s="195"/>
      <x:c r="N233" s="195"/>
      <x:c r="O233" s="195"/>
      <x:c r="P233" s="195"/>
      <x:c r="Q233" s="195"/>
      <x:c r="R233" s="195"/>
      <x:c r="S233" s="196" t="str">
        <x:f>IF(OR(M233="",N233="",Q233="",M233=0),"",ABS((M233-N233)/M233*Q233))</x:f>
      </x:c>
      <x:c r="T233" s="196" t="str">
        <x:f>IF(OR(M233="",N233="",O233="",M233=N233),"",ABS((O233-M233)/(M233-N233)))</x:f>
      </x:c>
      <x:c r="U233" s="195"/>
      <x:c r="V233" s="196" t="str">
        <x:f>IF(U233&lt;&gt;"",U233,IF(OR(P233="",M233="",Q233="",E233=""),"",IF(E233="做多",(P233-M233)/M233*Q233-R233,(M233-P233)/M233*Q233-R233)))</x:f>
      </x:c>
      <x:c r="W233" s="197" t="str">
        <x:f>IF(OR(V233="",S233="",S233=0),"",V233/S233)</x:f>
      </x:c>
      <x:c r="X233" s="198" t="str">
        <x:f>IF(V233="","",IF(V233&gt;0,"Win",IF(V233&lt;0,"Loss","BE")))</x:f>
      </x:c>
      <x:c r="Y233" s="194"/>
      <x:c r="Z233" s="194"/>
      <x:c r="AA233" s="194"/>
      <x:c r="AB233" s="194"/>
      <x:c r="AC233" s="194"/>
      <x:c r="AD233" s="196" t="str">
        <x:f>IF(A233="","",SUM($V$4:V233))</x:f>
      </x:c>
      <x:c r="AE233" s="196" t="str">
        <x:f>IF(AD233="","",MAX(0,$AD$4:AD233))</x:f>
      </x:c>
      <x:c r="AF233" s="199" t="str">
        <x:f>IF(AD233="","",AD233-AE233)</x:f>
      </x:c>
    </x:row>
    <x:row r="234">
      <x:c r="A234" s="192"/>
      <x:c r="B234" s="193"/>
      <x:c r="C234" s="193"/>
      <x:c r="D234" s="194"/>
      <x:c r="E234" s="194"/>
      <x:c r="F234" s="194"/>
      <x:c r="G234" s="194"/>
      <x:c r="H234" s="194"/>
      <x:c r="I234" s="194"/>
      <x:c r="J234" s="194"/>
      <x:c r="K234" s="194"/>
      <x:c r="L234" s="194"/>
      <x:c r="M234" s="195"/>
      <x:c r="N234" s="195"/>
      <x:c r="O234" s="195"/>
      <x:c r="P234" s="195"/>
      <x:c r="Q234" s="195"/>
      <x:c r="R234" s="195"/>
      <x:c r="S234" s="196" t="str">
        <x:f>IF(OR(M234="",N234="",Q234="",M234=0),"",ABS((M234-N234)/M234*Q234))</x:f>
      </x:c>
      <x:c r="T234" s="196" t="str">
        <x:f>IF(OR(M234="",N234="",O234="",M234=N234),"",ABS((O234-M234)/(M234-N234)))</x:f>
      </x:c>
      <x:c r="U234" s="195"/>
      <x:c r="V234" s="196" t="str">
        <x:f>IF(U234&lt;&gt;"",U234,IF(OR(P234="",M234="",Q234="",E234=""),"",IF(E234="做多",(P234-M234)/M234*Q234-R234,(M234-P234)/M234*Q234-R234)))</x:f>
      </x:c>
      <x:c r="W234" s="197" t="str">
        <x:f>IF(OR(V234="",S234="",S234=0),"",V234/S234)</x:f>
      </x:c>
      <x:c r="X234" s="198" t="str">
        <x:f>IF(V234="","",IF(V234&gt;0,"Win",IF(V234&lt;0,"Loss","BE")))</x:f>
      </x:c>
      <x:c r="Y234" s="194"/>
      <x:c r="Z234" s="194"/>
      <x:c r="AA234" s="194"/>
      <x:c r="AB234" s="194"/>
      <x:c r="AC234" s="194"/>
      <x:c r="AD234" s="196" t="str">
        <x:f>IF(A234="","",SUM($V$4:V234))</x:f>
      </x:c>
      <x:c r="AE234" s="196" t="str">
        <x:f>IF(AD234="","",MAX(0,$AD$4:AD234))</x:f>
      </x:c>
      <x:c r="AF234" s="199" t="str">
        <x:f>IF(AD234="","",AD234-AE234)</x:f>
      </x:c>
    </x:row>
    <x:row r="235">
      <x:c r="A235" s="192"/>
      <x:c r="B235" s="193"/>
      <x:c r="C235" s="193"/>
      <x:c r="D235" s="194"/>
      <x:c r="E235" s="194"/>
      <x:c r="F235" s="194"/>
      <x:c r="G235" s="194"/>
      <x:c r="H235" s="194"/>
      <x:c r="I235" s="194"/>
      <x:c r="J235" s="194"/>
      <x:c r="K235" s="194"/>
      <x:c r="L235" s="194"/>
      <x:c r="M235" s="195"/>
      <x:c r="N235" s="195"/>
      <x:c r="O235" s="195"/>
      <x:c r="P235" s="195"/>
      <x:c r="Q235" s="195"/>
      <x:c r="R235" s="195"/>
      <x:c r="S235" s="196" t="str">
        <x:f>IF(OR(M235="",N235="",Q235="",M235=0),"",ABS((M235-N235)/M235*Q235))</x:f>
      </x:c>
      <x:c r="T235" s="196" t="str">
        <x:f>IF(OR(M235="",N235="",O235="",M235=N235),"",ABS((O235-M235)/(M235-N235)))</x:f>
      </x:c>
      <x:c r="U235" s="195"/>
      <x:c r="V235" s="196" t="str">
        <x:f>IF(U235&lt;&gt;"",U235,IF(OR(P235="",M235="",Q235="",E235=""),"",IF(E235="做多",(P235-M235)/M235*Q235-R235,(M235-P235)/M235*Q235-R235)))</x:f>
      </x:c>
      <x:c r="W235" s="197" t="str">
        <x:f>IF(OR(V235="",S235="",S235=0),"",V235/S235)</x:f>
      </x:c>
      <x:c r="X235" s="198" t="str">
        <x:f>IF(V235="","",IF(V235&gt;0,"Win",IF(V235&lt;0,"Loss","BE")))</x:f>
      </x:c>
      <x:c r="Y235" s="194"/>
      <x:c r="Z235" s="194"/>
      <x:c r="AA235" s="194"/>
      <x:c r="AB235" s="194"/>
      <x:c r="AC235" s="194"/>
      <x:c r="AD235" s="196" t="str">
        <x:f>IF(A235="","",SUM($V$4:V235))</x:f>
      </x:c>
      <x:c r="AE235" s="196" t="str">
        <x:f>IF(AD235="","",MAX(0,$AD$4:AD235))</x:f>
      </x:c>
      <x:c r="AF235" s="199" t="str">
        <x:f>IF(AD235="","",AD235-AE235)</x:f>
      </x:c>
    </x:row>
    <x:row r="236">
      <x:c r="A236" s="192"/>
      <x:c r="B236" s="193"/>
      <x:c r="C236" s="193"/>
      <x:c r="D236" s="194"/>
      <x:c r="E236" s="194"/>
      <x:c r="F236" s="194"/>
      <x:c r="G236" s="194"/>
      <x:c r="H236" s="194"/>
      <x:c r="I236" s="194"/>
      <x:c r="J236" s="194"/>
      <x:c r="K236" s="194"/>
      <x:c r="L236" s="194"/>
      <x:c r="M236" s="195"/>
      <x:c r="N236" s="195"/>
      <x:c r="O236" s="195"/>
      <x:c r="P236" s="195"/>
      <x:c r="Q236" s="195"/>
      <x:c r="R236" s="195"/>
      <x:c r="S236" s="196" t="str">
        <x:f>IF(OR(M236="",N236="",Q236="",M236=0),"",ABS((M236-N236)/M236*Q236))</x:f>
      </x:c>
      <x:c r="T236" s="196" t="str">
        <x:f>IF(OR(M236="",N236="",O236="",M236=N236),"",ABS((O236-M236)/(M236-N236)))</x:f>
      </x:c>
      <x:c r="U236" s="195"/>
      <x:c r="V236" s="196" t="str">
        <x:f>IF(U236&lt;&gt;"",U236,IF(OR(P236="",M236="",Q236="",E236=""),"",IF(E236="做多",(P236-M236)/M236*Q236-R236,(M236-P236)/M236*Q236-R236)))</x:f>
      </x:c>
      <x:c r="W236" s="197" t="str">
        <x:f>IF(OR(V236="",S236="",S236=0),"",V236/S236)</x:f>
      </x:c>
      <x:c r="X236" s="198" t="str">
        <x:f>IF(V236="","",IF(V236&gt;0,"Win",IF(V236&lt;0,"Loss","BE")))</x:f>
      </x:c>
      <x:c r="Y236" s="194"/>
      <x:c r="Z236" s="194"/>
      <x:c r="AA236" s="194"/>
      <x:c r="AB236" s="194"/>
      <x:c r="AC236" s="194"/>
      <x:c r="AD236" s="196" t="str">
        <x:f>IF(A236="","",SUM($V$4:V236))</x:f>
      </x:c>
      <x:c r="AE236" s="196" t="str">
        <x:f>IF(AD236="","",MAX(0,$AD$4:AD236))</x:f>
      </x:c>
      <x:c r="AF236" s="199" t="str">
        <x:f>IF(AD236="","",AD236-AE236)</x:f>
      </x:c>
    </x:row>
    <x:row r="237">
      <x:c r="A237" s="192"/>
      <x:c r="B237" s="193"/>
      <x:c r="C237" s="193"/>
      <x:c r="D237" s="194"/>
      <x:c r="E237" s="194"/>
      <x:c r="F237" s="194"/>
      <x:c r="G237" s="194"/>
      <x:c r="H237" s="194"/>
      <x:c r="I237" s="194"/>
      <x:c r="J237" s="194"/>
      <x:c r="K237" s="194"/>
      <x:c r="L237" s="194"/>
      <x:c r="M237" s="195"/>
      <x:c r="N237" s="195"/>
      <x:c r="O237" s="195"/>
      <x:c r="P237" s="195"/>
      <x:c r="Q237" s="195"/>
      <x:c r="R237" s="195"/>
      <x:c r="S237" s="196" t="str">
        <x:f>IF(OR(M237="",N237="",Q237="",M237=0),"",ABS((M237-N237)/M237*Q237))</x:f>
      </x:c>
      <x:c r="T237" s="196" t="str">
        <x:f>IF(OR(M237="",N237="",O237="",M237=N237),"",ABS((O237-M237)/(M237-N237)))</x:f>
      </x:c>
      <x:c r="U237" s="195"/>
      <x:c r="V237" s="196" t="str">
        <x:f>IF(U237&lt;&gt;"",U237,IF(OR(P237="",M237="",Q237="",E237=""),"",IF(E237="做多",(P237-M237)/M237*Q237-R237,(M237-P237)/M237*Q237-R237)))</x:f>
      </x:c>
      <x:c r="W237" s="197" t="str">
        <x:f>IF(OR(V237="",S237="",S237=0),"",V237/S237)</x:f>
      </x:c>
      <x:c r="X237" s="198" t="str">
        <x:f>IF(V237="","",IF(V237&gt;0,"Win",IF(V237&lt;0,"Loss","BE")))</x:f>
      </x:c>
      <x:c r="Y237" s="194"/>
      <x:c r="Z237" s="194"/>
      <x:c r="AA237" s="194"/>
      <x:c r="AB237" s="194"/>
      <x:c r="AC237" s="194"/>
      <x:c r="AD237" s="196" t="str">
        <x:f>IF(A237="","",SUM($V$4:V237))</x:f>
      </x:c>
      <x:c r="AE237" s="196" t="str">
        <x:f>IF(AD237="","",MAX(0,$AD$4:AD237))</x:f>
      </x:c>
      <x:c r="AF237" s="199" t="str">
        <x:f>IF(AD237="","",AD237-AE237)</x:f>
      </x:c>
    </x:row>
    <x:row r="238">
      <x:c r="A238" s="192"/>
      <x:c r="B238" s="193"/>
      <x:c r="C238" s="193"/>
      <x:c r="D238" s="194"/>
      <x:c r="E238" s="194"/>
      <x:c r="F238" s="194"/>
      <x:c r="G238" s="194"/>
      <x:c r="H238" s="194"/>
      <x:c r="I238" s="194"/>
      <x:c r="J238" s="194"/>
      <x:c r="K238" s="194"/>
      <x:c r="L238" s="194"/>
      <x:c r="M238" s="195"/>
      <x:c r="N238" s="195"/>
      <x:c r="O238" s="195"/>
      <x:c r="P238" s="195"/>
      <x:c r="Q238" s="195"/>
      <x:c r="R238" s="195"/>
      <x:c r="S238" s="196" t="str">
        <x:f>IF(OR(M238="",N238="",Q238="",M238=0),"",ABS((M238-N238)/M238*Q238))</x:f>
      </x:c>
      <x:c r="T238" s="196" t="str">
        <x:f>IF(OR(M238="",N238="",O238="",M238=N238),"",ABS((O238-M238)/(M238-N238)))</x:f>
      </x:c>
      <x:c r="U238" s="195"/>
      <x:c r="V238" s="196" t="str">
        <x:f>IF(U238&lt;&gt;"",U238,IF(OR(P238="",M238="",Q238="",E238=""),"",IF(E238="做多",(P238-M238)/M238*Q238-R238,(M238-P238)/M238*Q238-R238)))</x:f>
      </x:c>
      <x:c r="W238" s="197" t="str">
        <x:f>IF(OR(V238="",S238="",S238=0),"",V238/S238)</x:f>
      </x:c>
      <x:c r="X238" s="198" t="str">
        <x:f>IF(V238="","",IF(V238&gt;0,"Win",IF(V238&lt;0,"Loss","BE")))</x:f>
      </x:c>
      <x:c r="Y238" s="194"/>
      <x:c r="Z238" s="194"/>
      <x:c r="AA238" s="194"/>
      <x:c r="AB238" s="194"/>
      <x:c r="AC238" s="194"/>
      <x:c r="AD238" s="196" t="str">
        <x:f>IF(A238="","",SUM($V$4:V238))</x:f>
      </x:c>
      <x:c r="AE238" s="196" t="str">
        <x:f>IF(AD238="","",MAX(0,$AD$4:AD238))</x:f>
      </x:c>
      <x:c r="AF238" s="199" t="str">
        <x:f>IF(AD238="","",AD238-AE238)</x:f>
      </x:c>
    </x:row>
    <x:row r="239">
      <x:c r="A239" s="192"/>
      <x:c r="B239" s="193"/>
      <x:c r="C239" s="193"/>
      <x:c r="D239" s="194"/>
      <x:c r="E239" s="194"/>
      <x:c r="F239" s="194"/>
      <x:c r="G239" s="194"/>
      <x:c r="H239" s="194"/>
      <x:c r="I239" s="194"/>
      <x:c r="J239" s="194"/>
      <x:c r="K239" s="194"/>
      <x:c r="L239" s="194"/>
      <x:c r="M239" s="195"/>
      <x:c r="N239" s="195"/>
      <x:c r="O239" s="195"/>
      <x:c r="P239" s="195"/>
      <x:c r="Q239" s="195"/>
      <x:c r="R239" s="195"/>
      <x:c r="S239" s="196" t="str">
        <x:f>IF(OR(M239="",N239="",Q239="",M239=0),"",ABS((M239-N239)/M239*Q239))</x:f>
      </x:c>
      <x:c r="T239" s="196" t="str">
        <x:f>IF(OR(M239="",N239="",O239="",M239=N239),"",ABS((O239-M239)/(M239-N239)))</x:f>
      </x:c>
      <x:c r="U239" s="195"/>
      <x:c r="V239" s="196" t="str">
        <x:f>IF(U239&lt;&gt;"",U239,IF(OR(P239="",M239="",Q239="",E239=""),"",IF(E239="做多",(P239-M239)/M239*Q239-R239,(M239-P239)/M239*Q239-R239)))</x:f>
      </x:c>
      <x:c r="W239" s="197" t="str">
        <x:f>IF(OR(V239="",S239="",S239=0),"",V239/S239)</x:f>
      </x:c>
      <x:c r="X239" s="198" t="str">
        <x:f>IF(V239="","",IF(V239&gt;0,"Win",IF(V239&lt;0,"Loss","BE")))</x:f>
      </x:c>
      <x:c r="Y239" s="194"/>
      <x:c r="Z239" s="194"/>
      <x:c r="AA239" s="194"/>
      <x:c r="AB239" s="194"/>
      <x:c r="AC239" s="194"/>
      <x:c r="AD239" s="196" t="str">
        <x:f>IF(A239="","",SUM($V$4:V239))</x:f>
      </x:c>
      <x:c r="AE239" s="196" t="str">
        <x:f>IF(AD239="","",MAX(0,$AD$4:AD239))</x:f>
      </x:c>
      <x:c r="AF239" s="199" t="str">
        <x:f>IF(AD239="","",AD239-AE239)</x:f>
      </x:c>
    </x:row>
    <x:row r="240">
      <x:c r="A240" s="192"/>
      <x:c r="B240" s="193"/>
      <x:c r="C240" s="193"/>
      <x:c r="D240" s="194"/>
      <x:c r="E240" s="194"/>
      <x:c r="F240" s="194"/>
      <x:c r="G240" s="194"/>
      <x:c r="H240" s="194"/>
      <x:c r="I240" s="194"/>
      <x:c r="J240" s="194"/>
      <x:c r="K240" s="194"/>
      <x:c r="L240" s="194"/>
      <x:c r="M240" s="195"/>
      <x:c r="N240" s="195"/>
      <x:c r="O240" s="195"/>
      <x:c r="P240" s="195"/>
      <x:c r="Q240" s="195"/>
      <x:c r="R240" s="195"/>
      <x:c r="S240" s="196" t="str">
        <x:f>IF(OR(M240="",N240="",Q240="",M240=0),"",ABS((M240-N240)/M240*Q240))</x:f>
      </x:c>
      <x:c r="T240" s="196" t="str">
        <x:f>IF(OR(M240="",N240="",O240="",M240=N240),"",ABS((O240-M240)/(M240-N240)))</x:f>
      </x:c>
      <x:c r="U240" s="195"/>
      <x:c r="V240" s="196" t="str">
        <x:f>IF(U240&lt;&gt;"",U240,IF(OR(P240="",M240="",Q240="",E240=""),"",IF(E240="做多",(P240-M240)/M240*Q240-R240,(M240-P240)/M240*Q240-R240)))</x:f>
      </x:c>
      <x:c r="W240" s="197" t="str">
        <x:f>IF(OR(V240="",S240="",S240=0),"",V240/S240)</x:f>
      </x:c>
      <x:c r="X240" s="198" t="str">
        <x:f>IF(V240="","",IF(V240&gt;0,"Win",IF(V240&lt;0,"Loss","BE")))</x:f>
      </x:c>
      <x:c r="Y240" s="194"/>
      <x:c r="Z240" s="194"/>
      <x:c r="AA240" s="194"/>
      <x:c r="AB240" s="194"/>
      <x:c r="AC240" s="194"/>
      <x:c r="AD240" s="196" t="str">
        <x:f>IF(A240="","",SUM($V$4:V240))</x:f>
      </x:c>
      <x:c r="AE240" s="196" t="str">
        <x:f>IF(AD240="","",MAX(0,$AD$4:AD240))</x:f>
      </x:c>
      <x:c r="AF240" s="199" t="str">
        <x:f>IF(AD240="","",AD240-AE240)</x:f>
      </x:c>
    </x:row>
    <x:row r="241">
      <x:c r="A241" s="192"/>
      <x:c r="B241" s="193"/>
      <x:c r="C241" s="193"/>
      <x:c r="D241" s="194"/>
      <x:c r="E241" s="194"/>
      <x:c r="F241" s="194"/>
      <x:c r="G241" s="194"/>
      <x:c r="H241" s="194"/>
      <x:c r="I241" s="194"/>
      <x:c r="J241" s="194"/>
      <x:c r="K241" s="194"/>
      <x:c r="L241" s="194"/>
      <x:c r="M241" s="195"/>
      <x:c r="N241" s="195"/>
      <x:c r="O241" s="195"/>
      <x:c r="P241" s="195"/>
      <x:c r="Q241" s="195"/>
      <x:c r="R241" s="195"/>
      <x:c r="S241" s="196" t="str">
        <x:f>IF(OR(M241="",N241="",Q241="",M241=0),"",ABS((M241-N241)/M241*Q241))</x:f>
      </x:c>
      <x:c r="T241" s="196" t="str">
        <x:f>IF(OR(M241="",N241="",O241="",M241=N241),"",ABS((O241-M241)/(M241-N241)))</x:f>
      </x:c>
      <x:c r="U241" s="195"/>
      <x:c r="V241" s="196" t="str">
        <x:f>IF(U241&lt;&gt;"",U241,IF(OR(P241="",M241="",Q241="",E241=""),"",IF(E241="做多",(P241-M241)/M241*Q241-R241,(M241-P241)/M241*Q241-R241)))</x:f>
      </x:c>
      <x:c r="W241" s="197" t="str">
        <x:f>IF(OR(V241="",S241="",S241=0),"",V241/S241)</x:f>
      </x:c>
      <x:c r="X241" s="198" t="str">
        <x:f>IF(V241="","",IF(V241&gt;0,"Win",IF(V241&lt;0,"Loss","BE")))</x:f>
      </x:c>
      <x:c r="Y241" s="194"/>
      <x:c r="Z241" s="194"/>
      <x:c r="AA241" s="194"/>
      <x:c r="AB241" s="194"/>
      <x:c r="AC241" s="194"/>
      <x:c r="AD241" s="196" t="str">
        <x:f>IF(A241="","",SUM($V$4:V241))</x:f>
      </x:c>
      <x:c r="AE241" s="196" t="str">
        <x:f>IF(AD241="","",MAX(0,$AD$4:AD241))</x:f>
      </x:c>
      <x:c r="AF241" s="199" t="str">
        <x:f>IF(AD241="","",AD241-AE241)</x:f>
      </x:c>
    </x:row>
    <x:row r="242">
      <x:c r="A242" s="192"/>
      <x:c r="B242" s="193"/>
      <x:c r="C242" s="193"/>
      <x:c r="D242" s="194"/>
      <x:c r="E242" s="194"/>
      <x:c r="F242" s="194"/>
      <x:c r="G242" s="194"/>
      <x:c r="H242" s="194"/>
      <x:c r="I242" s="194"/>
      <x:c r="J242" s="194"/>
      <x:c r="K242" s="194"/>
      <x:c r="L242" s="194"/>
      <x:c r="M242" s="195"/>
      <x:c r="N242" s="195"/>
      <x:c r="O242" s="195"/>
      <x:c r="P242" s="195"/>
      <x:c r="Q242" s="195"/>
      <x:c r="R242" s="195"/>
      <x:c r="S242" s="196" t="str">
        <x:f>IF(OR(M242="",N242="",Q242="",M242=0),"",ABS((M242-N242)/M242*Q242))</x:f>
      </x:c>
      <x:c r="T242" s="196" t="str">
        <x:f>IF(OR(M242="",N242="",O242="",M242=N242),"",ABS((O242-M242)/(M242-N242)))</x:f>
      </x:c>
      <x:c r="U242" s="195"/>
      <x:c r="V242" s="196" t="str">
        <x:f>IF(U242&lt;&gt;"",U242,IF(OR(P242="",M242="",Q242="",E242=""),"",IF(E242="做多",(P242-M242)/M242*Q242-R242,(M242-P242)/M242*Q242-R242)))</x:f>
      </x:c>
      <x:c r="W242" s="197" t="str">
        <x:f>IF(OR(V242="",S242="",S242=0),"",V242/S242)</x:f>
      </x:c>
      <x:c r="X242" s="198" t="str">
        <x:f>IF(V242="","",IF(V242&gt;0,"Win",IF(V242&lt;0,"Loss","BE")))</x:f>
      </x:c>
      <x:c r="Y242" s="194"/>
      <x:c r="Z242" s="194"/>
      <x:c r="AA242" s="194"/>
      <x:c r="AB242" s="194"/>
      <x:c r="AC242" s="194"/>
      <x:c r="AD242" s="196" t="str">
        <x:f>IF(A242="","",SUM($V$4:V242))</x:f>
      </x:c>
      <x:c r="AE242" s="196" t="str">
        <x:f>IF(AD242="","",MAX(0,$AD$4:AD242))</x:f>
      </x:c>
      <x:c r="AF242" s="199" t="str">
        <x:f>IF(AD242="","",AD242-AE242)</x:f>
      </x:c>
    </x:row>
    <x:row r="243">
      <x:c r="A243" s="192"/>
      <x:c r="B243" s="193"/>
      <x:c r="C243" s="193"/>
      <x:c r="D243" s="194"/>
      <x:c r="E243" s="194"/>
      <x:c r="F243" s="194"/>
      <x:c r="G243" s="194"/>
      <x:c r="H243" s="194"/>
      <x:c r="I243" s="194"/>
      <x:c r="J243" s="194"/>
      <x:c r="K243" s="194"/>
      <x:c r="L243" s="194"/>
      <x:c r="M243" s="195"/>
      <x:c r="N243" s="195"/>
      <x:c r="O243" s="195"/>
      <x:c r="P243" s="195"/>
      <x:c r="Q243" s="195"/>
      <x:c r="R243" s="195"/>
      <x:c r="S243" s="196" t="str">
        <x:f>IF(OR(M243="",N243="",Q243="",M243=0),"",ABS((M243-N243)/M243*Q243))</x:f>
      </x:c>
      <x:c r="T243" s="196" t="str">
        <x:f>IF(OR(M243="",N243="",O243="",M243=N243),"",ABS((O243-M243)/(M243-N243)))</x:f>
      </x:c>
      <x:c r="U243" s="195"/>
      <x:c r="V243" s="196" t="str">
        <x:f>IF(U243&lt;&gt;"",U243,IF(OR(P243="",M243="",Q243="",E243=""),"",IF(E243="做多",(P243-M243)/M243*Q243-R243,(M243-P243)/M243*Q243-R243)))</x:f>
      </x:c>
      <x:c r="W243" s="197" t="str">
        <x:f>IF(OR(V243="",S243="",S243=0),"",V243/S243)</x:f>
      </x:c>
      <x:c r="X243" s="198" t="str">
        <x:f>IF(V243="","",IF(V243&gt;0,"Win",IF(V243&lt;0,"Loss","BE")))</x:f>
      </x:c>
      <x:c r="Y243" s="194"/>
      <x:c r="Z243" s="194"/>
      <x:c r="AA243" s="194"/>
      <x:c r="AB243" s="194"/>
      <x:c r="AC243" s="194"/>
      <x:c r="AD243" s="196" t="str">
        <x:f>IF(A243="","",SUM($V$4:V243))</x:f>
      </x:c>
      <x:c r="AE243" s="196" t="str">
        <x:f>IF(AD243="","",MAX(0,$AD$4:AD243))</x:f>
      </x:c>
      <x:c r="AF243" s="199" t="str">
        <x:f>IF(AD243="","",AD243-AE243)</x:f>
      </x:c>
    </x:row>
    <x:row r="244">
      <x:c r="A244" s="192"/>
      <x:c r="B244" s="193"/>
      <x:c r="C244" s="193"/>
      <x:c r="D244" s="194"/>
      <x:c r="E244" s="194"/>
      <x:c r="F244" s="194"/>
      <x:c r="G244" s="194"/>
      <x:c r="H244" s="194"/>
      <x:c r="I244" s="194"/>
      <x:c r="J244" s="194"/>
      <x:c r="K244" s="194"/>
      <x:c r="L244" s="194"/>
      <x:c r="M244" s="195"/>
      <x:c r="N244" s="195"/>
      <x:c r="O244" s="195"/>
      <x:c r="P244" s="195"/>
      <x:c r="Q244" s="195"/>
      <x:c r="R244" s="195"/>
      <x:c r="S244" s="196" t="str">
        <x:f>IF(OR(M244="",N244="",Q244="",M244=0),"",ABS((M244-N244)/M244*Q244))</x:f>
      </x:c>
      <x:c r="T244" s="196" t="str">
        <x:f>IF(OR(M244="",N244="",O244="",M244=N244),"",ABS((O244-M244)/(M244-N244)))</x:f>
      </x:c>
      <x:c r="U244" s="195"/>
      <x:c r="V244" s="196" t="str">
        <x:f>IF(U244&lt;&gt;"",U244,IF(OR(P244="",M244="",Q244="",E244=""),"",IF(E244="做多",(P244-M244)/M244*Q244-R244,(M244-P244)/M244*Q244-R244)))</x:f>
      </x:c>
      <x:c r="W244" s="197" t="str">
        <x:f>IF(OR(V244="",S244="",S244=0),"",V244/S244)</x:f>
      </x:c>
      <x:c r="X244" s="198" t="str">
        <x:f>IF(V244="","",IF(V244&gt;0,"Win",IF(V244&lt;0,"Loss","BE")))</x:f>
      </x:c>
      <x:c r="Y244" s="194"/>
      <x:c r="Z244" s="194"/>
      <x:c r="AA244" s="194"/>
      <x:c r="AB244" s="194"/>
      <x:c r="AC244" s="194"/>
      <x:c r="AD244" s="196" t="str">
        <x:f>IF(A244="","",SUM($V$4:V244))</x:f>
      </x:c>
      <x:c r="AE244" s="196" t="str">
        <x:f>IF(AD244="","",MAX(0,$AD$4:AD244))</x:f>
      </x:c>
      <x:c r="AF244" s="199" t="str">
        <x:f>IF(AD244="","",AD244-AE244)</x:f>
      </x:c>
    </x:row>
    <x:row r="245">
      <x:c r="A245" s="192"/>
      <x:c r="B245" s="193"/>
      <x:c r="C245" s="193"/>
      <x:c r="D245" s="194"/>
      <x:c r="E245" s="194"/>
      <x:c r="F245" s="194"/>
      <x:c r="G245" s="194"/>
      <x:c r="H245" s="194"/>
      <x:c r="I245" s="194"/>
      <x:c r="J245" s="194"/>
      <x:c r="K245" s="194"/>
      <x:c r="L245" s="194"/>
      <x:c r="M245" s="195"/>
      <x:c r="N245" s="195"/>
      <x:c r="O245" s="195"/>
      <x:c r="P245" s="195"/>
      <x:c r="Q245" s="195"/>
      <x:c r="R245" s="195"/>
      <x:c r="S245" s="196" t="str">
        <x:f>IF(OR(M245="",N245="",Q245="",M245=0),"",ABS((M245-N245)/M245*Q245))</x:f>
      </x:c>
      <x:c r="T245" s="196" t="str">
        <x:f>IF(OR(M245="",N245="",O245="",M245=N245),"",ABS((O245-M245)/(M245-N245)))</x:f>
      </x:c>
      <x:c r="U245" s="195"/>
      <x:c r="V245" s="196" t="str">
        <x:f>IF(U245&lt;&gt;"",U245,IF(OR(P245="",M245="",Q245="",E245=""),"",IF(E245="做多",(P245-M245)/M245*Q245-R245,(M245-P245)/M245*Q245-R245)))</x:f>
      </x:c>
      <x:c r="W245" s="197" t="str">
        <x:f>IF(OR(V245="",S245="",S245=0),"",V245/S245)</x:f>
      </x:c>
      <x:c r="X245" s="198" t="str">
        <x:f>IF(V245="","",IF(V245&gt;0,"Win",IF(V245&lt;0,"Loss","BE")))</x:f>
      </x:c>
      <x:c r="Y245" s="194"/>
      <x:c r="Z245" s="194"/>
      <x:c r="AA245" s="194"/>
      <x:c r="AB245" s="194"/>
      <x:c r="AC245" s="194"/>
      <x:c r="AD245" s="196" t="str">
        <x:f>IF(A245="","",SUM($V$4:V245))</x:f>
      </x:c>
      <x:c r="AE245" s="196" t="str">
        <x:f>IF(AD245="","",MAX(0,$AD$4:AD245))</x:f>
      </x:c>
      <x:c r="AF245" s="199" t="str">
        <x:f>IF(AD245="","",AD245-AE245)</x:f>
      </x:c>
    </x:row>
    <x:row r="246">
      <x:c r="A246" s="192"/>
      <x:c r="B246" s="193"/>
      <x:c r="C246" s="193"/>
      <x:c r="D246" s="194"/>
      <x:c r="E246" s="194"/>
      <x:c r="F246" s="194"/>
      <x:c r="G246" s="194"/>
      <x:c r="H246" s="194"/>
      <x:c r="I246" s="194"/>
      <x:c r="J246" s="194"/>
      <x:c r="K246" s="194"/>
      <x:c r="L246" s="194"/>
      <x:c r="M246" s="195"/>
      <x:c r="N246" s="195"/>
      <x:c r="O246" s="195"/>
      <x:c r="P246" s="195"/>
      <x:c r="Q246" s="195"/>
      <x:c r="R246" s="195"/>
      <x:c r="S246" s="196" t="str">
        <x:f>IF(OR(M246="",N246="",Q246="",M246=0),"",ABS((M246-N246)/M246*Q246))</x:f>
      </x:c>
      <x:c r="T246" s="196" t="str">
        <x:f>IF(OR(M246="",N246="",O246="",M246=N246),"",ABS((O246-M246)/(M246-N246)))</x:f>
      </x:c>
      <x:c r="U246" s="195"/>
      <x:c r="V246" s="196" t="str">
        <x:f>IF(U246&lt;&gt;"",U246,IF(OR(P246="",M246="",Q246="",E246=""),"",IF(E246="做多",(P246-M246)/M246*Q246-R246,(M246-P246)/M246*Q246-R246)))</x:f>
      </x:c>
      <x:c r="W246" s="197" t="str">
        <x:f>IF(OR(V246="",S246="",S246=0),"",V246/S246)</x:f>
      </x:c>
      <x:c r="X246" s="198" t="str">
        <x:f>IF(V246="","",IF(V246&gt;0,"Win",IF(V246&lt;0,"Loss","BE")))</x:f>
      </x:c>
      <x:c r="Y246" s="194"/>
      <x:c r="Z246" s="194"/>
      <x:c r="AA246" s="194"/>
      <x:c r="AB246" s="194"/>
      <x:c r="AC246" s="194"/>
      <x:c r="AD246" s="196" t="str">
        <x:f>IF(A246="","",SUM($V$4:V246))</x:f>
      </x:c>
      <x:c r="AE246" s="196" t="str">
        <x:f>IF(AD246="","",MAX(0,$AD$4:AD246))</x:f>
      </x:c>
      <x:c r="AF246" s="199" t="str">
        <x:f>IF(AD246="","",AD246-AE246)</x:f>
      </x:c>
    </x:row>
    <x:row r="247">
      <x:c r="A247" s="192"/>
      <x:c r="B247" s="193"/>
      <x:c r="C247" s="193"/>
      <x:c r="D247" s="194"/>
      <x:c r="E247" s="194"/>
      <x:c r="F247" s="194"/>
      <x:c r="G247" s="194"/>
      <x:c r="H247" s="194"/>
      <x:c r="I247" s="194"/>
      <x:c r="J247" s="194"/>
      <x:c r="K247" s="194"/>
      <x:c r="L247" s="194"/>
      <x:c r="M247" s="195"/>
      <x:c r="N247" s="195"/>
      <x:c r="O247" s="195"/>
      <x:c r="P247" s="195"/>
      <x:c r="Q247" s="195"/>
      <x:c r="R247" s="195"/>
      <x:c r="S247" s="196" t="str">
        <x:f>IF(OR(M247="",N247="",Q247="",M247=0),"",ABS((M247-N247)/M247*Q247))</x:f>
      </x:c>
      <x:c r="T247" s="196" t="str">
        <x:f>IF(OR(M247="",N247="",O247="",M247=N247),"",ABS((O247-M247)/(M247-N247)))</x:f>
      </x:c>
      <x:c r="U247" s="195"/>
      <x:c r="V247" s="196" t="str">
        <x:f>IF(U247&lt;&gt;"",U247,IF(OR(P247="",M247="",Q247="",E247=""),"",IF(E247="做多",(P247-M247)/M247*Q247-R247,(M247-P247)/M247*Q247-R247)))</x:f>
      </x:c>
      <x:c r="W247" s="197" t="str">
        <x:f>IF(OR(V247="",S247="",S247=0),"",V247/S247)</x:f>
      </x:c>
      <x:c r="X247" s="198" t="str">
        <x:f>IF(V247="","",IF(V247&gt;0,"Win",IF(V247&lt;0,"Loss","BE")))</x:f>
      </x:c>
      <x:c r="Y247" s="194"/>
      <x:c r="Z247" s="194"/>
      <x:c r="AA247" s="194"/>
      <x:c r="AB247" s="194"/>
      <x:c r="AC247" s="194"/>
      <x:c r="AD247" s="196" t="str">
        <x:f>IF(A247="","",SUM($V$4:V247))</x:f>
      </x:c>
      <x:c r="AE247" s="196" t="str">
        <x:f>IF(AD247="","",MAX(0,$AD$4:AD247))</x:f>
      </x:c>
      <x:c r="AF247" s="199" t="str">
        <x:f>IF(AD247="","",AD247-AE247)</x:f>
      </x:c>
    </x:row>
    <x:row r="248">
      <x:c r="A248" s="192"/>
      <x:c r="B248" s="193"/>
      <x:c r="C248" s="193"/>
      <x:c r="D248" s="194"/>
      <x:c r="E248" s="194"/>
      <x:c r="F248" s="194"/>
      <x:c r="G248" s="194"/>
      <x:c r="H248" s="194"/>
      <x:c r="I248" s="194"/>
      <x:c r="J248" s="194"/>
      <x:c r="K248" s="194"/>
      <x:c r="L248" s="194"/>
      <x:c r="M248" s="195"/>
      <x:c r="N248" s="195"/>
      <x:c r="O248" s="195"/>
      <x:c r="P248" s="195"/>
      <x:c r="Q248" s="195"/>
      <x:c r="R248" s="195"/>
      <x:c r="S248" s="196" t="str">
        <x:f>IF(OR(M248="",N248="",Q248="",M248=0),"",ABS((M248-N248)/M248*Q248))</x:f>
      </x:c>
      <x:c r="T248" s="196" t="str">
        <x:f>IF(OR(M248="",N248="",O248="",M248=N248),"",ABS((O248-M248)/(M248-N248)))</x:f>
      </x:c>
      <x:c r="U248" s="195"/>
      <x:c r="V248" s="196" t="str">
        <x:f>IF(U248&lt;&gt;"",U248,IF(OR(P248="",M248="",Q248="",E248=""),"",IF(E248="做多",(P248-M248)/M248*Q248-R248,(M248-P248)/M248*Q248-R248)))</x:f>
      </x:c>
      <x:c r="W248" s="197" t="str">
        <x:f>IF(OR(V248="",S248="",S248=0),"",V248/S248)</x:f>
      </x:c>
      <x:c r="X248" s="198" t="str">
        <x:f>IF(V248="","",IF(V248&gt;0,"Win",IF(V248&lt;0,"Loss","BE")))</x:f>
      </x:c>
      <x:c r="Y248" s="194"/>
      <x:c r="Z248" s="194"/>
      <x:c r="AA248" s="194"/>
      <x:c r="AB248" s="194"/>
      <x:c r="AC248" s="194"/>
      <x:c r="AD248" s="196" t="str">
        <x:f>IF(A248="","",SUM($V$4:V248))</x:f>
      </x:c>
      <x:c r="AE248" s="196" t="str">
        <x:f>IF(AD248="","",MAX(0,$AD$4:AD248))</x:f>
      </x:c>
      <x:c r="AF248" s="199" t="str">
        <x:f>IF(AD248="","",AD248-AE248)</x:f>
      </x:c>
    </x:row>
    <x:row r="249">
      <x:c r="A249" s="192"/>
      <x:c r="B249" s="193"/>
      <x:c r="C249" s="193"/>
      <x:c r="D249" s="194"/>
      <x:c r="E249" s="194"/>
      <x:c r="F249" s="194"/>
      <x:c r="G249" s="194"/>
      <x:c r="H249" s="194"/>
      <x:c r="I249" s="194"/>
      <x:c r="J249" s="194"/>
      <x:c r="K249" s="194"/>
      <x:c r="L249" s="194"/>
      <x:c r="M249" s="195"/>
      <x:c r="N249" s="195"/>
      <x:c r="O249" s="195"/>
      <x:c r="P249" s="195"/>
      <x:c r="Q249" s="195"/>
      <x:c r="R249" s="195"/>
      <x:c r="S249" s="196" t="str">
        <x:f>IF(OR(M249="",N249="",Q249="",M249=0),"",ABS((M249-N249)/M249*Q249))</x:f>
      </x:c>
      <x:c r="T249" s="196" t="str">
        <x:f>IF(OR(M249="",N249="",O249="",M249=N249),"",ABS((O249-M249)/(M249-N249)))</x:f>
      </x:c>
      <x:c r="U249" s="195"/>
      <x:c r="V249" s="196" t="str">
        <x:f>IF(U249&lt;&gt;"",U249,IF(OR(P249="",M249="",Q249="",E249=""),"",IF(E249="做多",(P249-M249)/M249*Q249-R249,(M249-P249)/M249*Q249-R249)))</x:f>
      </x:c>
      <x:c r="W249" s="197" t="str">
        <x:f>IF(OR(V249="",S249="",S249=0),"",V249/S249)</x:f>
      </x:c>
      <x:c r="X249" s="198" t="str">
        <x:f>IF(V249="","",IF(V249&gt;0,"Win",IF(V249&lt;0,"Loss","BE")))</x:f>
      </x:c>
      <x:c r="Y249" s="194"/>
      <x:c r="Z249" s="194"/>
      <x:c r="AA249" s="194"/>
      <x:c r="AB249" s="194"/>
      <x:c r="AC249" s="194"/>
      <x:c r="AD249" s="196" t="str">
        <x:f>IF(A249="","",SUM($V$4:V249))</x:f>
      </x:c>
      <x:c r="AE249" s="196" t="str">
        <x:f>IF(AD249="","",MAX(0,$AD$4:AD249))</x:f>
      </x:c>
      <x:c r="AF249" s="199" t="str">
        <x:f>IF(AD249="","",AD249-AE249)</x:f>
      </x:c>
    </x:row>
    <x:row r="250">
      <x:c r="A250" s="192"/>
      <x:c r="B250" s="193"/>
      <x:c r="C250" s="193"/>
      <x:c r="D250" s="194"/>
      <x:c r="E250" s="194"/>
      <x:c r="F250" s="194"/>
      <x:c r="G250" s="194"/>
      <x:c r="H250" s="194"/>
      <x:c r="I250" s="194"/>
      <x:c r="J250" s="194"/>
      <x:c r="K250" s="194"/>
      <x:c r="L250" s="194"/>
      <x:c r="M250" s="195"/>
      <x:c r="N250" s="195"/>
      <x:c r="O250" s="195"/>
      <x:c r="P250" s="195"/>
      <x:c r="Q250" s="195"/>
      <x:c r="R250" s="195"/>
      <x:c r="S250" s="196" t="str">
        <x:f>IF(OR(M250="",N250="",Q250="",M250=0),"",ABS((M250-N250)/M250*Q250))</x:f>
      </x:c>
      <x:c r="T250" s="196" t="str">
        <x:f>IF(OR(M250="",N250="",O250="",M250=N250),"",ABS((O250-M250)/(M250-N250)))</x:f>
      </x:c>
      <x:c r="U250" s="195"/>
      <x:c r="V250" s="196" t="str">
        <x:f>IF(U250&lt;&gt;"",U250,IF(OR(P250="",M250="",Q250="",E250=""),"",IF(E250="做多",(P250-M250)/M250*Q250-R250,(M250-P250)/M250*Q250-R250)))</x:f>
      </x:c>
      <x:c r="W250" s="197" t="str">
        <x:f>IF(OR(V250="",S250="",S250=0),"",V250/S250)</x:f>
      </x:c>
      <x:c r="X250" s="198" t="str">
        <x:f>IF(V250="","",IF(V250&gt;0,"Win",IF(V250&lt;0,"Loss","BE")))</x:f>
      </x:c>
      <x:c r="Y250" s="194"/>
      <x:c r="Z250" s="194"/>
      <x:c r="AA250" s="194"/>
      <x:c r="AB250" s="194"/>
      <x:c r="AC250" s="194"/>
      <x:c r="AD250" s="196" t="str">
        <x:f>IF(A250="","",SUM($V$4:V250))</x:f>
      </x:c>
      <x:c r="AE250" s="196" t="str">
        <x:f>IF(AD250="","",MAX(0,$AD$4:AD250))</x:f>
      </x:c>
      <x:c r="AF250" s="199" t="str">
        <x:f>IF(AD250="","",AD250-AE250)</x:f>
      </x:c>
    </x:row>
    <x:row r="251">
      <x:c r="A251" s="192"/>
      <x:c r="B251" s="193"/>
      <x:c r="C251" s="193"/>
      <x:c r="D251" s="194"/>
      <x:c r="E251" s="194"/>
      <x:c r="F251" s="194"/>
      <x:c r="G251" s="194"/>
      <x:c r="H251" s="194"/>
      <x:c r="I251" s="194"/>
      <x:c r="J251" s="194"/>
      <x:c r="K251" s="194"/>
      <x:c r="L251" s="194"/>
      <x:c r="M251" s="195"/>
      <x:c r="N251" s="195"/>
      <x:c r="O251" s="195"/>
      <x:c r="P251" s="195"/>
      <x:c r="Q251" s="195"/>
      <x:c r="R251" s="195"/>
      <x:c r="S251" s="196" t="str">
        <x:f>IF(OR(M251="",N251="",Q251="",M251=0),"",ABS((M251-N251)/M251*Q251))</x:f>
      </x:c>
      <x:c r="T251" s="196" t="str">
        <x:f>IF(OR(M251="",N251="",O251="",M251=N251),"",ABS((O251-M251)/(M251-N251)))</x:f>
      </x:c>
      <x:c r="U251" s="195"/>
      <x:c r="V251" s="196" t="str">
        <x:f>IF(U251&lt;&gt;"",U251,IF(OR(P251="",M251="",Q251="",E251=""),"",IF(E251="做多",(P251-M251)/M251*Q251-R251,(M251-P251)/M251*Q251-R251)))</x:f>
      </x:c>
      <x:c r="W251" s="197" t="str">
        <x:f>IF(OR(V251="",S251="",S251=0),"",V251/S251)</x:f>
      </x:c>
      <x:c r="X251" s="198" t="str">
        <x:f>IF(V251="","",IF(V251&gt;0,"Win",IF(V251&lt;0,"Loss","BE")))</x:f>
      </x:c>
      <x:c r="Y251" s="194"/>
      <x:c r="Z251" s="194"/>
      <x:c r="AA251" s="194"/>
      <x:c r="AB251" s="194"/>
      <x:c r="AC251" s="194"/>
      <x:c r="AD251" s="196" t="str">
        <x:f>IF(A251="","",SUM($V$4:V251))</x:f>
      </x:c>
      <x:c r="AE251" s="196" t="str">
        <x:f>IF(AD251="","",MAX(0,$AD$4:AD251))</x:f>
      </x:c>
      <x:c r="AF251" s="199" t="str">
        <x:f>IF(AD251="","",AD251-AE251)</x:f>
      </x:c>
    </x:row>
    <x:row r="252">
      <x:c r="A252" s="192"/>
      <x:c r="B252" s="193"/>
      <x:c r="C252" s="193"/>
      <x:c r="D252" s="194"/>
      <x:c r="E252" s="194"/>
      <x:c r="F252" s="194"/>
      <x:c r="G252" s="194"/>
      <x:c r="H252" s="194"/>
      <x:c r="I252" s="194"/>
      <x:c r="J252" s="194"/>
      <x:c r="K252" s="194"/>
      <x:c r="L252" s="194"/>
      <x:c r="M252" s="195"/>
      <x:c r="N252" s="195"/>
      <x:c r="O252" s="195"/>
      <x:c r="P252" s="195"/>
      <x:c r="Q252" s="195"/>
      <x:c r="R252" s="195"/>
      <x:c r="S252" s="196" t="str">
        <x:f>IF(OR(M252="",N252="",Q252="",M252=0),"",ABS((M252-N252)/M252*Q252))</x:f>
      </x:c>
      <x:c r="T252" s="196" t="str">
        <x:f>IF(OR(M252="",N252="",O252="",M252=N252),"",ABS((O252-M252)/(M252-N252)))</x:f>
      </x:c>
      <x:c r="U252" s="195"/>
      <x:c r="V252" s="196" t="str">
        <x:f>IF(U252&lt;&gt;"",U252,IF(OR(P252="",M252="",Q252="",E252=""),"",IF(E252="做多",(P252-M252)/M252*Q252-R252,(M252-P252)/M252*Q252-R252)))</x:f>
      </x:c>
      <x:c r="W252" s="197" t="str">
        <x:f>IF(OR(V252="",S252="",S252=0),"",V252/S252)</x:f>
      </x:c>
      <x:c r="X252" s="198" t="str">
        <x:f>IF(V252="","",IF(V252&gt;0,"Win",IF(V252&lt;0,"Loss","BE")))</x:f>
      </x:c>
      <x:c r="Y252" s="194"/>
      <x:c r="Z252" s="194"/>
      <x:c r="AA252" s="194"/>
      <x:c r="AB252" s="194"/>
      <x:c r="AC252" s="194"/>
      <x:c r="AD252" s="196" t="str">
        <x:f>IF(A252="","",SUM($V$4:V252))</x:f>
      </x:c>
      <x:c r="AE252" s="196" t="str">
        <x:f>IF(AD252="","",MAX(0,$AD$4:AD252))</x:f>
      </x:c>
      <x:c r="AF252" s="199" t="str">
        <x:f>IF(AD252="","",AD252-AE252)</x:f>
      </x:c>
    </x:row>
    <x:row r="253">
      <x:c r="A253" s="192"/>
      <x:c r="B253" s="193"/>
      <x:c r="C253" s="193"/>
      <x:c r="D253" s="194"/>
      <x:c r="E253" s="194"/>
      <x:c r="F253" s="194"/>
      <x:c r="G253" s="194"/>
      <x:c r="H253" s="194"/>
      <x:c r="I253" s="194"/>
      <x:c r="J253" s="194"/>
      <x:c r="K253" s="194"/>
      <x:c r="L253" s="194"/>
      <x:c r="M253" s="195"/>
      <x:c r="N253" s="195"/>
      <x:c r="O253" s="195"/>
      <x:c r="P253" s="195"/>
      <x:c r="Q253" s="195"/>
      <x:c r="R253" s="195"/>
      <x:c r="S253" s="196" t="str">
        <x:f>IF(OR(M253="",N253="",Q253="",M253=0),"",ABS((M253-N253)/M253*Q253))</x:f>
      </x:c>
      <x:c r="T253" s="196" t="str">
        <x:f>IF(OR(M253="",N253="",O253="",M253=N253),"",ABS((O253-M253)/(M253-N253)))</x:f>
      </x:c>
      <x:c r="U253" s="195"/>
      <x:c r="V253" s="196" t="str">
        <x:f>IF(U253&lt;&gt;"",U253,IF(OR(P253="",M253="",Q253="",E253=""),"",IF(E253="做多",(P253-M253)/M253*Q253-R253,(M253-P253)/M253*Q253-R253)))</x:f>
      </x:c>
      <x:c r="W253" s="197" t="str">
        <x:f>IF(OR(V253="",S253="",S253=0),"",V253/S253)</x:f>
      </x:c>
      <x:c r="X253" s="198" t="str">
        <x:f>IF(V253="","",IF(V253&gt;0,"Win",IF(V253&lt;0,"Loss","BE")))</x:f>
      </x:c>
      <x:c r="Y253" s="194"/>
      <x:c r="Z253" s="194"/>
      <x:c r="AA253" s="194"/>
      <x:c r="AB253" s="194"/>
      <x:c r="AC253" s="194"/>
      <x:c r="AD253" s="196" t="str">
        <x:f>IF(A253="","",SUM($V$4:V253))</x:f>
      </x:c>
      <x:c r="AE253" s="196" t="str">
        <x:f>IF(AD253="","",MAX(0,$AD$4:AD253))</x:f>
      </x:c>
      <x:c r="AF253" s="199" t="str">
        <x:f>IF(AD253="","",AD253-AE253)</x:f>
      </x:c>
    </x:row>
    <x:row r="254">
      <x:c r="A254" s="192"/>
      <x:c r="B254" s="193"/>
      <x:c r="C254" s="193"/>
      <x:c r="D254" s="194"/>
      <x:c r="E254" s="194"/>
      <x:c r="F254" s="194"/>
      <x:c r="G254" s="194"/>
      <x:c r="H254" s="194"/>
      <x:c r="I254" s="194"/>
      <x:c r="J254" s="194"/>
      <x:c r="K254" s="194"/>
      <x:c r="L254" s="194"/>
      <x:c r="M254" s="195"/>
      <x:c r="N254" s="195"/>
      <x:c r="O254" s="195"/>
      <x:c r="P254" s="195"/>
      <x:c r="Q254" s="195"/>
      <x:c r="R254" s="195"/>
      <x:c r="S254" s="196" t="str">
        <x:f>IF(OR(M254="",N254="",Q254="",M254=0),"",ABS((M254-N254)/M254*Q254))</x:f>
      </x:c>
      <x:c r="T254" s="196" t="str">
        <x:f>IF(OR(M254="",N254="",O254="",M254=N254),"",ABS((O254-M254)/(M254-N254)))</x:f>
      </x:c>
      <x:c r="U254" s="195"/>
      <x:c r="V254" s="196" t="str">
        <x:f>IF(U254&lt;&gt;"",U254,IF(OR(P254="",M254="",Q254="",E254=""),"",IF(E254="做多",(P254-M254)/M254*Q254-R254,(M254-P254)/M254*Q254-R254)))</x:f>
      </x:c>
      <x:c r="W254" s="197" t="str">
        <x:f>IF(OR(V254="",S254="",S254=0),"",V254/S254)</x:f>
      </x:c>
      <x:c r="X254" s="198" t="str">
        <x:f>IF(V254="","",IF(V254&gt;0,"Win",IF(V254&lt;0,"Loss","BE")))</x:f>
      </x:c>
      <x:c r="Y254" s="194"/>
      <x:c r="Z254" s="194"/>
      <x:c r="AA254" s="194"/>
      <x:c r="AB254" s="194"/>
      <x:c r="AC254" s="194"/>
      <x:c r="AD254" s="196" t="str">
        <x:f>IF(A254="","",SUM($V$4:V254))</x:f>
      </x:c>
      <x:c r="AE254" s="196" t="str">
        <x:f>IF(AD254="","",MAX(0,$AD$4:AD254))</x:f>
      </x:c>
      <x:c r="AF254" s="199" t="str">
        <x:f>IF(AD254="","",AD254-AE254)</x:f>
      </x:c>
    </x:row>
    <x:row r="255">
      <x:c r="A255" s="192"/>
      <x:c r="B255" s="193"/>
      <x:c r="C255" s="193"/>
      <x:c r="D255" s="194"/>
      <x:c r="E255" s="194"/>
      <x:c r="F255" s="194"/>
      <x:c r="G255" s="194"/>
      <x:c r="H255" s="194"/>
      <x:c r="I255" s="194"/>
      <x:c r="J255" s="194"/>
      <x:c r="K255" s="194"/>
      <x:c r="L255" s="194"/>
      <x:c r="M255" s="195"/>
      <x:c r="N255" s="195"/>
      <x:c r="O255" s="195"/>
      <x:c r="P255" s="195"/>
      <x:c r="Q255" s="195"/>
      <x:c r="R255" s="195"/>
      <x:c r="S255" s="196" t="str">
        <x:f>IF(OR(M255="",N255="",Q255="",M255=0),"",ABS((M255-N255)/M255*Q255))</x:f>
      </x:c>
      <x:c r="T255" s="196" t="str">
        <x:f>IF(OR(M255="",N255="",O255="",M255=N255),"",ABS((O255-M255)/(M255-N255)))</x:f>
      </x:c>
      <x:c r="U255" s="195"/>
      <x:c r="V255" s="196" t="str">
        <x:f>IF(U255&lt;&gt;"",U255,IF(OR(P255="",M255="",Q255="",E255=""),"",IF(E255="做多",(P255-M255)/M255*Q255-R255,(M255-P255)/M255*Q255-R255)))</x:f>
      </x:c>
      <x:c r="W255" s="197" t="str">
        <x:f>IF(OR(V255="",S255="",S255=0),"",V255/S255)</x:f>
      </x:c>
      <x:c r="X255" s="198" t="str">
        <x:f>IF(V255="","",IF(V255&gt;0,"Win",IF(V255&lt;0,"Loss","BE")))</x:f>
      </x:c>
      <x:c r="Y255" s="194"/>
      <x:c r="Z255" s="194"/>
      <x:c r="AA255" s="194"/>
      <x:c r="AB255" s="194"/>
      <x:c r="AC255" s="194"/>
      <x:c r="AD255" s="196" t="str">
        <x:f>IF(A255="","",SUM($V$4:V255))</x:f>
      </x:c>
      <x:c r="AE255" s="196" t="str">
        <x:f>IF(AD255="","",MAX(0,$AD$4:AD255))</x:f>
      </x:c>
      <x:c r="AF255" s="199" t="str">
        <x:f>IF(AD255="","",AD255-AE255)</x:f>
      </x:c>
    </x:row>
    <x:row r="256">
      <x:c r="A256" s="192"/>
      <x:c r="B256" s="193"/>
      <x:c r="C256" s="193"/>
      <x:c r="D256" s="194"/>
      <x:c r="E256" s="194"/>
      <x:c r="F256" s="194"/>
      <x:c r="G256" s="194"/>
      <x:c r="H256" s="194"/>
      <x:c r="I256" s="194"/>
      <x:c r="J256" s="194"/>
      <x:c r="K256" s="194"/>
      <x:c r="L256" s="194"/>
      <x:c r="M256" s="195"/>
      <x:c r="N256" s="195"/>
      <x:c r="O256" s="195"/>
      <x:c r="P256" s="195"/>
      <x:c r="Q256" s="195"/>
      <x:c r="R256" s="195"/>
      <x:c r="S256" s="196" t="str">
        <x:f>IF(OR(M256="",N256="",Q256="",M256=0),"",ABS((M256-N256)/M256*Q256))</x:f>
      </x:c>
      <x:c r="T256" s="196" t="str">
        <x:f>IF(OR(M256="",N256="",O256="",M256=N256),"",ABS((O256-M256)/(M256-N256)))</x:f>
      </x:c>
      <x:c r="U256" s="195"/>
      <x:c r="V256" s="196" t="str">
        <x:f>IF(U256&lt;&gt;"",U256,IF(OR(P256="",M256="",Q256="",E256=""),"",IF(E256="做多",(P256-M256)/M256*Q256-R256,(M256-P256)/M256*Q256-R256)))</x:f>
      </x:c>
      <x:c r="W256" s="197" t="str">
        <x:f>IF(OR(V256="",S256="",S256=0),"",V256/S256)</x:f>
      </x:c>
      <x:c r="X256" s="198" t="str">
        <x:f>IF(V256="","",IF(V256&gt;0,"Win",IF(V256&lt;0,"Loss","BE")))</x:f>
      </x:c>
      <x:c r="Y256" s="194"/>
      <x:c r="Z256" s="194"/>
      <x:c r="AA256" s="194"/>
      <x:c r="AB256" s="194"/>
      <x:c r="AC256" s="194"/>
      <x:c r="AD256" s="196" t="str">
        <x:f>IF(A256="","",SUM($V$4:V256))</x:f>
      </x:c>
      <x:c r="AE256" s="196" t="str">
        <x:f>IF(AD256="","",MAX(0,$AD$4:AD256))</x:f>
      </x:c>
      <x:c r="AF256" s="199" t="str">
        <x:f>IF(AD256="","",AD256-AE256)</x:f>
      </x:c>
    </x:row>
    <x:row r="257">
      <x:c r="A257" s="192"/>
      <x:c r="B257" s="193"/>
      <x:c r="C257" s="193"/>
      <x:c r="D257" s="194"/>
      <x:c r="E257" s="194"/>
      <x:c r="F257" s="194"/>
      <x:c r="G257" s="194"/>
      <x:c r="H257" s="194"/>
      <x:c r="I257" s="194"/>
      <x:c r="J257" s="194"/>
      <x:c r="K257" s="194"/>
      <x:c r="L257" s="194"/>
      <x:c r="M257" s="195"/>
      <x:c r="N257" s="195"/>
      <x:c r="O257" s="195"/>
      <x:c r="P257" s="195"/>
      <x:c r="Q257" s="195"/>
      <x:c r="R257" s="195"/>
      <x:c r="S257" s="196" t="str">
        <x:f>IF(OR(M257="",N257="",Q257="",M257=0),"",ABS((M257-N257)/M257*Q257))</x:f>
      </x:c>
      <x:c r="T257" s="196" t="str">
        <x:f>IF(OR(M257="",N257="",O257="",M257=N257),"",ABS((O257-M257)/(M257-N257)))</x:f>
      </x:c>
      <x:c r="U257" s="195"/>
      <x:c r="V257" s="196" t="str">
        <x:f>IF(U257&lt;&gt;"",U257,IF(OR(P257="",M257="",Q257="",E257=""),"",IF(E257="做多",(P257-M257)/M257*Q257-R257,(M257-P257)/M257*Q257-R257)))</x:f>
      </x:c>
      <x:c r="W257" s="197" t="str">
        <x:f>IF(OR(V257="",S257="",S257=0),"",V257/S257)</x:f>
      </x:c>
      <x:c r="X257" s="198" t="str">
        <x:f>IF(V257="","",IF(V257&gt;0,"Win",IF(V257&lt;0,"Loss","BE")))</x:f>
      </x:c>
      <x:c r="Y257" s="194"/>
      <x:c r="Z257" s="194"/>
      <x:c r="AA257" s="194"/>
      <x:c r="AB257" s="194"/>
      <x:c r="AC257" s="194"/>
      <x:c r="AD257" s="196" t="str">
        <x:f>IF(A257="","",SUM($V$4:V257))</x:f>
      </x:c>
      <x:c r="AE257" s="196" t="str">
        <x:f>IF(AD257="","",MAX(0,$AD$4:AD257))</x:f>
      </x:c>
      <x:c r="AF257" s="199" t="str">
        <x:f>IF(AD257="","",AD257-AE257)</x:f>
      </x:c>
    </x:row>
    <x:row r="258">
      <x:c r="A258" s="192"/>
      <x:c r="B258" s="193"/>
      <x:c r="C258" s="193"/>
      <x:c r="D258" s="194"/>
      <x:c r="E258" s="194"/>
      <x:c r="F258" s="194"/>
      <x:c r="G258" s="194"/>
      <x:c r="H258" s="194"/>
      <x:c r="I258" s="194"/>
      <x:c r="J258" s="194"/>
      <x:c r="K258" s="194"/>
      <x:c r="L258" s="194"/>
      <x:c r="M258" s="195"/>
      <x:c r="N258" s="195"/>
      <x:c r="O258" s="195"/>
      <x:c r="P258" s="195"/>
      <x:c r="Q258" s="195"/>
      <x:c r="R258" s="195"/>
      <x:c r="S258" s="196" t="str">
        <x:f>IF(OR(M258="",N258="",Q258="",M258=0),"",ABS((M258-N258)/M258*Q258))</x:f>
      </x:c>
      <x:c r="T258" s="196" t="str">
        <x:f>IF(OR(M258="",N258="",O258="",M258=N258),"",ABS((O258-M258)/(M258-N258)))</x:f>
      </x:c>
      <x:c r="U258" s="195"/>
      <x:c r="V258" s="196" t="str">
        <x:f>IF(U258&lt;&gt;"",U258,IF(OR(P258="",M258="",Q258="",E258=""),"",IF(E258="做多",(P258-M258)/M258*Q258-R258,(M258-P258)/M258*Q258-R258)))</x:f>
      </x:c>
      <x:c r="W258" s="197" t="str">
        <x:f>IF(OR(V258="",S258="",S258=0),"",V258/S258)</x:f>
      </x:c>
      <x:c r="X258" s="198" t="str">
        <x:f>IF(V258="","",IF(V258&gt;0,"Win",IF(V258&lt;0,"Loss","BE")))</x:f>
      </x:c>
      <x:c r="Y258" s="194"/>
      <x:c r="Z258" s="194"/>
      <x:c r="AA258" s="194"/>
      <x:c r="AB258" s="194"/>
      <x:c r="AC258" s="194"/>
      <x:c r="AD258" s="196" t="str">
        <x:f>IF(A258="","",SUM($V$4:V258))</x:f>
      </x:c>
      <x:c r="AE258" s="196" t="str">
        <x:f>IF(AD258="","",MAX(0,$AD$4:AD258))</x:f>
      </x:c>
      <x:c r="AF258" s="199" t="str">
        <x:f>IF(AD258="","",AD258-AE258)</x:f>
      </x:c>
    </x:row>
    <x:row r="259">
      <x:c r="A259" s="192"/>
      <x:c r="B259" s="193"/>
      <x:c r="C259" s="193"/>
      <x:c r="D259" s="194"/>
      <x:c r="E259" s="194"/>
      <x:c r="F259" s="194"/>
      <x:c r="G259" s="194"/>
      <x:c r="H259" s="194"/>
      <x:c r="I259" s="194"/>
      <x:c r="J259" s="194"/>
      <x:c r="K259" s="194"/>
      <x:c r="L259" s="194"/>
      <x:c r="M259" s="195"/>
      <x:c r="N259" s="195"/>
      <x:c r="O259" s="195"/>
      <x:c r="P259" s="195"/>
      <x:c r="Q259" s="195"/>
      <x:c r="R259" s="195"/>
      <x:c r="S259" s="196" t="str">
        <x:f>IF(OR(M259="",N259="",Q259="",M259=0),"",ABS((M259-N259)/M259*Q259))</x:f>
      </x:c>
      <x:c r="T259" s="196" t="str">
        <x:f>IF(OR(M259="",N259="",O259="",M259=N259),"",ABS((O259-M259)/(M259-N259)))</x:f>
      </x:c>
      <x:c r="U259" s="195"/>
      <x:c r="V259" s="196" t="str">
        <x:f>IF(U259&lt;&gt;"",U259,IF(OR(P259="",M259="",Q259="",E259=""),"",IF(E259="做多",(P259-M259)/M259*Q259-R259,(M259-P259)/M259*Q259-R259)))</x:f>
      </x:c>
      <x:c r="W259" s="197" t="str">
        <x:f>IF(OR(V259="",S259="",S259=0),"",V259/S259)</x:f>
      </x:c>
      <x:c r="X259" s="198" t="str">
        <x:f>IF(V259="","",IF(V259&gt;0,"Win",IF(V259&lt;0,"Loss","BE")))</x:f>
      </x:c>
      <x:c r="Y259" s="194"/>
      <x:c r="Z259" s="194"/>
      <x:c r="AA259" s="194"/>
      <x:c r="AB259" s="194"/>
      <x:c r="AC259" s="194"/>
      <x:c r="AD259" s="196" t="str">
        <x:f>IF(A259="","",SUM($V$4:V259))</x:f>
      </x:c>
      <x:c r="AE259" s="196" t="str">
        <x:f>IF(AD259="","",MAX(0,$AD$4:AD259))</x:f>
      </x:c>
      <x:c r="AF259" s="199" t="str">
        <x:f>IF(AD259="","",AD259-AE259)</x:f>
      </x:c>
    </x:row>
    <x:row r="260">
      <x:c r="A260" s="192"/>
      <x:c r="B260" s="193"/>
      <x:c r="C260" s="193"/>
      <x:c r="D260" s="194"/>
      <x:c r="E260" s="194"/>
      <x:c r="F260" s="194"/>
      <x:c r="G260" s="194"/>
      <x:c r="H260" s="194"/>
      <x:c r="I260" s="194"/>
      <x:c r="J260" s="194"/>
      <x:c r="K260" s="194"/>
      <x:c r="L260" s="194"/>
      <x:c r="M260" s="195"/>
      <x:c r="N260" s="195"/>
      <x:c r="O260" s="195"/>
      <x:c r="P260" s="195"/>
      <x:c r="Q260" s="195"/>
      <x:c r="R260" s="195"/>
      <x:c r="S260" s="196" t="str">
        <x:f>IF(OR(M260="",N260="",Q260="",M260=0),"",ABS((M260-N260)/M260*Q260))</x:f>
      </x:c>
      <x:c r="T260" s="196" t="str">
        <x:f>IF(OR(M260="",N260="",O260="",M260=N260),"",ABS((O260-M260)/(M260-N260)))</x:f>
      </x:c>
      <x:c r="U260" s="195"/>
      <x:c r="V260" s="196" t="str">
        <x:f>IF(U260&lt;&gt;"",U260,IF(OR(P260="",M260="",Q260="",E260=""),"",IF(E260="做多",(P260-M260)/M260*Q260-R260,(M260-P260)/M260*Q260-R260)))</x:f>
      </x:c>
      <x:c r="W260" s="197" t="str">
        <x:f>IF(OR(V260="",S260="",S260=0),"",V260/S260)</x:f>
      </x:c>
      <x:c r="X260" s="198" t="str">
        <x:f>IF(V260="","",IF(V260&gt;0,"Win",IF(V260&lt;0,"Loss","BE")))</x:f>
      </x:c>
      <x:c r="Y260" s="194"/>
      <x:c r="Z260" s="194"/>
      <x:c r="AA260" s="194"/>
      <x:c r="AB260" s="194"/>
      <x:c r="AC260" s="194"/>
      <x:c r="AD260" s="196" t="str">
        <x:f>IF(A260="","",SUM($V$4:V260))</x:f>
      </x:c>
      <x:c r="AE260" s="196" t="str">
        <x:f>IF(AD260="","",MAX(0,$AD$4:AD260))</x:f>
      </x:c>
      <x:c r="AF260" s="199" t="str">
        <x:f>IF(AD260="","",AD260-AE260)</x:f>
      </x:c>
    </x:row>
    <x:row r="261">
      <x:c r="A261" s="192"/>
      <x:c r="B261" s="193"/>
      <x:c r="C261" s="193"/>
      <x:c r="D261" s="194"/>
      <x:c r="E261" s="194"/>
      <x:c r="F261" s="194"/>
      <x:c r="G261" s="194"/>
      <x:c r="H261" s="194"/>
      <x:c r="I261" s="194"/>
      <x:c r="J261" s="194"/>
      <x:c r="K261" s="194"/>
      <x:c r="L261" s="194"/>
      <x:c r="M261" s="195"/>
      <x:c r="N261" s="195"/>
      <x:c r="O261" s="195"/>
      <x:c r="P261" s="195"/>
      <x:c r="Q261" s="195"/>
      <x:c r="R261" s="195"/>
      <x:c r="S261" s="196" t="str">
        <x:f>IF(OR(M261="",N261="",Q261="",M261=0),"",ABS((M261-N261)/M261*Q261))</x:f>
      </x:c>
      <x:c r="T261" s="196" t="str">
        <x:f>IF(OR(M261="",N261="",O261="",M261=N261),"",ABS((O261-M261)/(M261-N261)))</x:f>
      </x:c>
      <x:c r="U261" s="195"/>
      <x:c r="V261" s="196" t="str">
        <x:f>IF(U261&lt;&gt;"",U261,IF(OR(P261="",M261="",Q261="",E261=""),"",IF(E261="做多",(P261-M261)/M261*Q261-R261,(M261-P261)/M261*Q261-R261)))</x:f>
      </x:c>
      <x:c r="W261" s="197" t="str">
        <x:f>IF(OR(V261="",S261="",S261=0),"",V261/S261)</x:f>
      </x:c>
      <x:c r="X261" s="198" t="str">
        <x:f>IF(V261="","",IF(V261&gt;0,"Win",IF(V261&lt;0,"Loss","BE")))</x:f>
      </x:c>
      <x:c r="Y261" s="194"/>
      <x:c r="Z261" s="194"/>
      <x:c r="AA261" s="194"/>
      <x:c r="AB261" s="194"/>
      <x:c r="AC261" s="194"/>
      <x:c r="AD261" s="196" t="str">
        <x:f>IF(A261="","",SUM($V$4:V261))</x:f>
      </x:c>
      <x:c r="AE261" s="196" t="str">
        <x:f>IF(AD261="","",MAX(0,$AD$4:AD261))</x:f>
      </x:c>
      <x:c r="AF261" s="199" t="str">
        <x:f>IF(AD261="","",AD261-AE261)</x:f>
      </x:c>
    </x:row>
    <x:row r="262">
      <x:c r="A262" s="192"/>
      <x:c r="B262" s="193"/>
      <x:c r="C262" s="193"/>
      <x:c r="D262" s="194"/>
      <x:c r="E262" s="194"/>
      <x:c r="F262" s="194"/>
      <x:c r="G262" s="194"/>
      <x:c r="H262" s="194"/>
      <x:c r="I262" s="194"/>
      <x:c r="J262" s="194"/>
      <x:c r="K262" s="194"/>
      <x:c r="L262" s="194"/>
      <x:c r="M262" s="195"/>
      <x:c r="N262" s="195"/>
      <x:c r="O262" s="195"/>
      <x:c r="P262" s="195"/>
      <x:c r="Q262" s="195"/>
      <x:c r="R262" s="195"/>
      <x:c r="S262" s="196" t="str">
        <x:f>IF(OR(M262="",N262="",Q262="",M262=0),"",ABS((M262-N262)/M262*Q262))</x:f>
      </x:c>
      <x:c r="T262" s="196" t="str">
        <x:f>IF(OR(M262="",N262="",O262="",M262=N262),"",ABS((O262-M262)/(M262-N262)))</x:f>
      </x:c>
      <x:c r="U262" s="195"/>
      <x:c r="V262" s="196" t="str">
        <x:f>IF(U262&lt;&gt;"",U262,IF(OR(P262="",M262="",Q262="",E262=""),"",IF(E262="做多",(P262-M262)/M262*Q262-R262,(M262-P262)/M262*Q262-R262)))</x:f>
      </x:c>
      <x:c r="W262" s="197" t="str">
        <x:f>IF(OR(V262="",S262="",S262=0),"",V262/S262)</x:f>
      </x:c>
      <x:c r="X262" s="198" t="str">
        <x:f>IF(V262="","",IF(V262&gt;0,"Win",IF(V262&lt;0,"Loss","BE")))</x:f>
      </x:c>
      <x:c r="Y262" s="194"/>
      <x:c r="Z262" s="194"/>
      <x:c r="AA262" s="194"/>
      <x:c r="AB262" s="194"/>
      <x:c r="AC262" s="194"/>
      <x:c r="AD262" s="196" t="str">
        <x:f>IF(A262="","",SUM($V$4:V262))</x:f>
      </x:c>
      <x:c r="AE262" s="196" t="str">
        <x:f>IF(AD262="","",MAX(0,$AD$4:AD262))</x:f>
      </x:c>
      <x:c r="AF262" s="199" t="str">
        <x:f>IF(AD262="","",AD262-AE262)</x:f>
      </x:c>
    </x:row>
    <x:row r="263">
      <x:c r="A263" s="192"/>
      <x:c r="B263" s="193"/>
      <x:c r="C263" s="193"/>
      <x:c r="D263" s="194"/>
      <x:c r="E263" s="194"/>
      <x:c r="F263" s="194"/>
      <x:c r="G263" s="194"/>
      <x:c r="H263" s="194"/>
      <x:c r="I263" s="194"/>
      <x:c r="J263" s="194"/>
      <x:c r="K263" s="194"/>
      <x:c r="L263" s="194"/>
      <x:c r="M263" s="195"/>
      <x:c r="N263" s="195"/>
      <x:c r="O263" s="195"/>
      <x:c r="P263" s="195"/>
      <x:c r="Q263" s="195"/>
      <x:c r="R263" s="195"/>
      <x:c r="S263" s="196" t="str">
        <x:f>IF(OR(M263="",N263="",Q263="",M263=0),"",ABS((M263-N263)/M263*Q263))</x:f>
      </x:c>
      <x:c r="T263" s="196" t="str">
        <x:f>IF(OR(M263="",N263="",O263="",M263=N263),"",ABS((O263-M263)/(M263-N263)))</x:f>
      </x:c>
      <x:c r="U263" s="195"/>
      <x:c r="V263" s="196" t="str">
        <x:f>IF(U263&lt;&gt;"",U263,IF(OR(P263="",M263="",Q263="",E263=""),"",IF(E263="做多",(P263-M263)/M263*Q263-R263,(M263-P263)/M263*Q263-R263)))</x:f>
      </x:c>
      <x:c r="W263" s="197" t="str">
        <x:f>IF(OR(V263="",S263="",S263=0),"",V263/S263)</x:f>
      </x:c>
      <x:c r="X263" s="198" t="str">
        <x:f>IF(V263="","",IF(V263&gt;0,"Win",IF(V263&lt;0,"Loss","BE")))</x:f>
      </x:c>
      <x:c r="Y263" s="194"/>
      <x:c r="Z263" s="194"/>
      <x:c r="AA263" s="194"/>
      <x:c r="AB263" s="194"/>
      <x:c r="AC263" s="194"/>
      <x:c r="AD263" s="196" t="str">
        <x:f>IF(A263="","",SUM($V$4:V263))</x:f>
      </x:c>
      <x:c r="AE263" s="196" t="str">
        <x:f>IF(AD263="","",MAX(0,$AD$4:AD263))</x:f>
      </x:c>
      <x:c r="AF263" s="199" t="str">
        <x:f>IF(AD263="","",AD263-AE263)</x:f>
      </x:c>
    </x:row>
    <x:row r="264">
      <x:c r="A264" s="192"/>
      <x:c r="B264" s="193"/>
      <x:c r="C264" s="193"/>
      <x:c r="D264" s="194"/>
      <x:c r="E264" s="194"/>
      <x:c r="F264" s="194"/>
      <x:c r="G264" s="194"/>
      <x:c r="H264" s="194"/>
      <x:c r="I264" s="194"/>
      <x:c r="J264" s="194"/>
      <x:c r="K264" s="194"/>
      <x:c r="L264" s="194"/>
      <x:c r="M264" s="195"/>
      <x:c r="N264" s="195"/>
      <x:c r="O264" s="195"/>
      <x:c r="P264" s="195"/>
      <x:c r="Q264" s="195"/>
      <x:c r="R264" s="195"/>
      <x:c r="S264" s="196" t="str">
        <x:f>IF(OR(M264="",N264="",Q264="",M264=0),"",ABS((M264-N264)/M264*Q264))</x:f>
      </x:c>
      <x:c r="T264" s="196" t="str">
        <x:f>IF(OR(M264="",N264="",O264="",M264=N264),"",ABS((O264-M264)/(M264-N264)))</x:f>
      </x:c>
      <x:c r="U264" s="195"/>
      <x:c r="V264" s="196" t="str">
        <x:f>IF(U264&lt;&gt;"",U264,IF(OR(P264="",M264="",Q264="",E264=""),"",IF(E264="做多",(P264-M264)/M264*Q264-R264,(M264-P264)/M264*Q264-R264)))</x:f>
      </x:c>
      <x:c r="W264" s="197" t="str">
        <x:f>IF(OR(V264="",S264="",S264=0),"",V264/S264)</x:f>
      </x:c>
      <x:c r="X264" s="198" t="str">
        <x:f>IF(V264="","",IF(V264&gt;0,"Win",IF(V264&lt;0,"Loss","BE")))</x:f>
      </x:c>
      <x:c r="Y264" s="194"/>
      <x:c r="Z264" s="194"/>
      <x:c r="AA264" s="194"/>
      <x:c r="AB264" s="194"/>
      <x:c r="AC264" s="194"/>
      <x:c r="AD264" s="196" t="str">
        <x:f>IF(A264="","",SUM($V$4:V264))</x:f>
      </x:c>
      <x:c r="AE264" s="196" t="str">
        <x:f>IF(AD264="","",MAX(0,$AD$4:AD264))</x:f>
      </x:c>
      <x:c r="AF264" s="199" t="str">
        <x:f>IF(AD264="","",AD264-AE264)</x:f>
      </x:c>
    </x:row>
    <x:row r="265">
      <x:c r="A265" s="192"/>
      <x:c r="B265" s="193"/>
      <x:c r="C265" s="193"/>
      <x:c r="D265" s="194"/>
      <x:c r="E265" s="194"/>
      <x:c r="F265" s="194"/>
      <x:c r="G265" s="194"/>
      <x:c r="H265" s="194"/>
      <x:c r="I265" s="194"/>
      <x:c r="J265" s="194"/>
      <x:c r="K265" s="194"/>
      <x:c r="L265" s="194"/>
      <x:c r="M265" s="195"/>
      <x:c r="N265" s="195"/>
      <x:c r="O265" s="195"/>
      <x:c r="P265" s="195"/>
      <x:c r="Q265" s="195"/>
      <x:c r="R265" s="195"/>
      <x:c r="S265" s="196" t="str">
        <x:f>IF(OR(M265="",N265="",Q265="",M265=0),"",ABS((M265-N265)/M265*Q265))</x:f>
      </x:c>
      <x:c r="T265" s="196" t="str">
        <x:f>IF(OR(M265="",N265="",O265="",M265=N265),"",ABS((O265-M265)/(M265-N265)))</x:f>
      </x:c>
      <x:c r="U265" s="195"/>
      <x:c r="V265" s="196" t="str">
        <x:f>IF(U265&lt;&gt;"",U265,IF(OR(P265="",M265="",Q265="",E265=""),"",IF(E265="做多",(P265-M265)/M265*Q265-R265,(M265-P265)/M265*Q265-R265)))</x:f>
      </x:c>
      <x:c r="W265" s="197" t="str">
        <x:f>IF(OR(V265="",S265="",S265=0),"",V265/S265)</x:f>
      </x:c>
      <x:c r="X265" s="198" t="str">
        <x:f>IF(V265="","",IF(V265&gt;0,"Win",IF(V265&lt;0,"Loss","BE")))</x:f>
      </x:c>
      <x:c r="Y265" s="194"/>
      <x:c r="Z265" s="194"/>
      <x:c r="AA265" s="194"/>
      <x:c r="AB265" s="194"/>
      <x:c r="AC265" s="194"/>
      <x:c r="AD265" s="196" t="str">
        <x:f>IF(A265="","",SUM($V$4:V265))</x:f>
      </x:c>
      <x:c r="AE265" s="196" t="str">
        <x:f>IF(AD265="","",MAX(0,$AD$4:AD265))</x:f>
      </x:c>
      <x:c r="AF265" s="199" t="str">
        <x:f>IF(AD265="","",AD265-AE265)</x:f>
      </x:c>
    </x:row>
    <x:row r="266">
      <x:c r="A266" s="192"/>
      <x:c r="B266" s="193"/>
      <x:c r="C266" s="193"/>
      <x:c r="D266" s="194"/>
      <x:c r="E266" s="194"/>
      <x:c r="F266" s="194"/>
      <x:c r="G266" s="194"/>
      <x:c r="H266" s="194"/>
      <x:c r="I266" s="194"/>
      <x:c r="J266" s="194"/>
      <x:c r="K266" s="194"/>
      <x:c r="L266" s="194"/>
      <x:c r="M266" s="195"/>
      <x:c r="N266" s="195"/>
      <x:c r="O266" s="195"/>
      <x:c r="P266" s="195"/>
      <x:c r="Q266" s="195"/>
      <x:c r="R266" s="195"/>
      <x:c r="S266" s="196" t="str">
        <x:f>IF(OR(M266="",N266="",Q266="",M266=0),"",ABS((M266-N266)/M266*Q266))</x:f>
      </x:c>
      <x:c r="T266" s="196" t="str">
        <x:f>IF(OR(M266="",N266="",O266="",M266=N266),"",ABS((O266-M266)/(M266-N266)))</x:f>
      </x:c>
      <x:c r="U266" s="195"/>
      <x:c r="V266" s="196" t="str">
        <x:f>IF(U266&lt;&gt;"",U266,IF(OR(P266="",M266="",Q266="",E266=""),"",IF(E266="做多",(P266-M266)/M266*Q266-R266,(M266-P266)/M266*Q266-R266)))</x:f>
      </x:c>
      <x:c r="W266" s="197" t="str">
        <x:f>IF(OR(V266="",S266="",S266=0),"",V266/S266)</x:f>
      </x:c>
      <x:c r="X266" s="198" t="str">
        <x:f>IF(V266="","",IF(V266&gt;0,"Win",IF(V266&lt;0,"Loss","BE")))</x:f>
      </x:c>
      <x:c r="Y266" s="194"/>
      <x:c r="Z266" s="194"/>
      <x:c r="AA266" s="194"/>
      <x:c r="AB266" s="194"/>
      <x:c r="AC266" s="194"/>
      <x:c r="AD266" s="196" t="str">
        <x:f>IF(A266="","",SUM($V$4:V266))</x:f>
      </x:c>
      <x:c r="AE266" s="196" t="str">
        <x:f>IF(AD266="","",MAX(0,$AD$4:AD266))</x:f>
      </x:c>
      <x:c r="AF266" s="199" t="str">
        <x:f>IF(AD266="","",AD266-AE266)</x:f>
      </x:c>
    </x:row>
    <x:row r="267">
      <x:c r="A267" s="192"/>
      <x:c r="B267" s="193"/>
      <x:c r="C267" s="193"/>
      <x:c r="D267" s="194"/>
      <x:c r="E267" s="194"/>
      <x:c r="F267" s="194"/>
      <x:c r="G267" s="194"/>
      <x:c r="H267" s="194"/>
      <x:c r="I267" s="194"/>
      <x:c r="J267" s="194"/>
      <x:c r="K267" s="194"/>
      <x:c r="L267" s="194"/>
      <x:c r="M267" s="195"/>
      <x:c r="N267" s="195"/>
      <x:c r="O267" s="195"/>
      <x:c r="P267" s="195"/>
      <x:c r="Q267" s="195"/>
      <x:c r="R267" s="195"/>
      <x:c r="S267" s="196" t="str">
        <x:f>IF(OR(M267="",N267="",Q267="",M267=0),"",ABS((M267-N267)/M267*Q267))</x:f>
      </x:c>
      <x:c r="T267" s="196" t="str">
        <x:f>IF(OR(M267="",N267="",O267="",M267=N267),"",ABS((O267-M267)/(M267-N267)))</x:f>
      </x:c>
      <x:c r="U267" s="195"/>
      <x:c r="V267" s="196" t="str">
        <x:f>IF(U267&lt;&gt;"",U267,IF(OR(P267="",M267="",Q267="",E267=""),"",IF(E267="做多",(P267-M267)/M267*Q267-R267,(M267-P267)/M267*Q267-R267)))</x:f>
      </x:c>
      <x:c r="W267" s="197" t="str">
        <x:f>IF(OR(V267="",S267="",S267=0),"",V267/S267)</x:f>
      </x:c>
      <x:c r="X267" s="198" t="str">
        <x:f>IF(V267="","",IF(V267&gt;0,"Win",IF(V267&lt;0,"Loss","BE")))</x:f>
      </x:c>
      <x:c r="Y267" s="194"/>
      <x:c r="Z267" s="194"/>
      <x:c r="AA267" s="194"/>
      <x:c r="AB267" s="194"/>
      <x:c r="AC267" s="194"/>
      <x:c r="AD267" s="196" t="str">
        <x:f>IF(A267="","",SUM($V$4:V267))</x:f>
      </x:c>
      <x:c r="AE267" s="196" t="str">
        <x:f>IF(AD267="","",MAX(0,$AD$4:AD267))</x:f>
      </x:c>
      <x:c r="AF267" s="199" t="str">
        <x:f>IF(AD267="","",AD267-AE267)</x:f>
      </x:c>
    </x:row>
    <x:row r="268">
      <x:c r="A268" s="192"/>
      <x:c r="B268" s="193"/>
      <x:c r="C268" s="193"/>
      <x:c r="D268" s="194"/>
      <x:c r="E268" s="194"/>
      <x:c r="F268" s="194"/>
      <x:c r="G268" s="194"/>
      <x:c r="H268" s="194"/>
      <x:c r="I268" s="194"/>
      <x:c r="J268" s="194"/>
      <x:c r="K268" s="194"/>
      <x:c r="L268" s="194"/>
      <x:c r="M268" s="195"/>
      <x:c r="N268" s="195"/>
      <x:c r="O268" s="195"/>
      <x:c r="P268" s="195"/>
      <x:c r="Q268" s="195"/>
      <x:c r="R268" s="195"/>
      <x:c r="S268" s="196" t="str">
        <x:f>IF(OR(M268="",N268="",Q268="",M268=0),"",ABS((M268-N268)/M268*Q268))</x:f>
      </x:c>
      <x:c r="T268" s="196" t="str">
        <x:f>IF(OR(M268="",N268="",O268="",M268=N268),"",ABS((O268-M268)/(M268-N268)))</x:f>
      </x:c>
      <x:c r="U268" s="195"/>
      <x:c r="V268" s="196" t="str">
        <x:f>IF(U268&lt;&gt;"",U268,IF(OR(P268="",M268="",Q268="",E268=""),"",IF(E268="做多",(P268-M268)/M268*Q268-R268,(M268-P268)/M268*Q268-R268)))</x:f>
      </x:c>
      <x:c r="W268" s="197" t="str">
        <x:f>IF(OR(V268="",S268="",S268=0),"",V268/S268)</x:f>
      </x:c>
      <x:c r="X268" s="198" t="str">
        <x:f>IF(V268="","",IF(V268&gt;0,"Win",IF(V268&lt;0,"Loss","BE")))</x:f>
      </x:c>
      <x:c r="Y268" s="194"/>
      <x:c r="Z268" s="194"/>
      <x:c r="AA268" s="194"/>
      <x:c r="AB268" s="194"/>
      <x:c r="AC268" s="194"/>
      <x:c r="AD268" s="196" t="str">
        <x:f>IF(A268="","",SUM($V$4:V268))</x:f>
      </x:c>
      <x:c r="AE268" s="196" t="str">
        <x:f>IF(AD268="","",MAX(0,$AD$4:AD268))</x:f>
      </x:c>
      <x:c r="AF268" s="199" t="str">
        <x:f>IF(AD268="","",AD268-AE268)</x:f>
      </x:c>
    </x:row>
    <x:row r="269">
      <x:c r="A269" s="192"/>
      <x:c r="B269" s="193"/>
      <x:c r="C269" s="193"/>
      <x:c r="D269" s="194"/>
      <x:c r="E269" s="194"/>
      <x:c r="F269" s="194"/>
      <x:c r="G269" s="194"/>
      <x:c r="H269" s="194"/>
      <x:c r="I269" s="194"/>
      <x:c r="J269" s="194"/>
      <x:c r="K269" s="194"/>
      <x:c r="L269" s="194"/>
      <x:c r="M269" s="195"/>
      <x:c r="N269" s="195"/>
      <x:c r="O269" s="195"/>
      <x:c r="P269" s="195"/>
      <x:c r="Q269" s="195"/>
      <x:c r="R269" s="195"/>
      <x:c r="S269" s="196" t="str">
        <x:f>IF(OR(M269="",N269="",Q269="",M269=0),"",ABS((M269-N269)/M269*Q269))</x:f>
      </x:c>
      <x:c r="T269" s="196" t="str">
        <x:f>IF(OR(M269="",N269="",O269="",M269=N269),"",ABS((O269-M269)/(M269-N269)))</x:f>
      </x:c>
      <x:c r="U269" s="195"/>
      <x:c r="V269" s="196" t="str">
        <x:f>IF(U269&lt;&gt;"",U269,IF(OR(P269="",M269="",Q269="",E269=""),"",IF(E269="做多",(P269-M269)/M269*Q269-R269,(M269-P269)/M269*Q269-R269)))</x:f>
      </x:c>
      <x:c r="W269" s="197" t="str">
        <x:f>IF(OR(V269="",S269="",S269=0),"",V269/S269)</x:f>
      </x:c>
      <x:c r="X269" s="198" t="str">
        <x:f>IF(V269="","",IF(V269&gt;0,"Win",IF(V269&lt;0,"Loss","BE")))</x:f>
      </x:c>
      <x:c r="Y269" s="194"/>
      <x:c r="Z269" s="194"/>
      <x:c r="AA269" s="194"/>
      <x:c r="AB269" s="194"/>
      <x:c r="AC269" s="194"/>
      <x:c r="AD269" s="196" t="str">
        <x:f>IF(A269="","",SUM($V$4:V269))</x:f>
      </x:c>
      <x:c r="AE269" s="196" t="str">
        <x:f>IF(AD269="","",MAX(0,$AD$4:AD269))</x:f>
      </x:c>
      <x:c r="AF269" s="199" t="str">
        <x:f>IF(AD269="","",AD269-AE269)</x:f>
      </x:c>
    </x:row>
    <x:row r="270">
      <x:c r="A270" s="192"/>
      <x:c r="B270" s="193"/>
      <x:c r="C270" s="193"/>
      <x:c r="D270" s="194"/>
      <x:c r="E270" s="194"/>
      <x:c r="F270" s="194"/>
      <x:c r="G270" s="194"/>
      <x:c r="H270" s="194"/>
      <x:c r="I270" s="194"/>
      <x:c r="J270" s="194"/>
      <x:c r="K270" s="194"/>
      <x:c r="L270" s="194"/>
      <x:c r="M270" s="195"/>
      <x:c r="N270" s="195"/>
      <x:c r="O270" s="195"/>
      <x:c r="P270" s="195"/>
      <x:c r="Q270" s="195"/>
      <x:c r="R270" s="195"/>
      <x:c r="S270" s="196" t="str">
        <x:f>IF(OR(M270="",N270="",Q270="",M270=0),"",ABS((M270-N270)/M270*Q270))</x:f>
      </x:c>
      <x:c r="T270" s="196" t="str">
        <x:f>IF(OR(M270="",N270="",O270="",M270=N270),"",ABS((O270-M270)/(M270-N270)))</x:f>
      </x:c>
      <x:c r="U270" s="195"/>
      <x:c r="V270" s="196" t="str">
        <x:f>IF(U270&lt;&gt;"",U270,IF(OR(P270="",M270="",Q270="",E270=""),"",IF(E270="做多",(P270-M270)/M270*Q270-R270,(M270-P270)/M270*Q270-R270)))</x:f>
      </x:c>
      <x:c r="W270" s="197" t="str">
        <x:f>IF(OR(V270="",S270="",S270=0),"",V270/S270)</x:f>
      </x:c>
      <x:c r="X270" s="198" t="str">
        <x:f>IF(V270="","",IF(V270&gt;0,"Win",IF(V270&lt;0,"Loss","BE")))</x:f>
      </x:c>
      <x:c r="Y270" s="194"/>
      <x:c r="Z270" s="194"/>
      <x:c r="AA270" s="194"/>
      <x:c r="AB270" s="194"/>
      <x:c r="AC270" s="194"/>
      <x:c r="AD270" s="196" t="str">
        <x:f>IF(A270="","",SUM($V$4:V270))</x:f>
      </x:c>
      <x:c r="AE270" s="196" t="str">
        <x:f>IF(AD270="","",MAX(0,$AD$4:AD270))</x:f>
      </x:c>
      <x:c r="AF270" s="199" t="str">
        <x:f>IF(AD270="","",AD270-AE270)</x:f>
      </x:c>
    </x:row>
    <x:row r="271">
      <x:c r="A271" s="192"/>
      <x:c r="B271" s="193"/>
      <x:c r="C271" s="193"/>
      <x:c r="D271" s="194"/>
      <x:c r="E271" s="194"/>
      <x:c r="F271" s="194"/>
      <x:c r="G271" s="194"/>
      <x:c r="H271" s="194"/>
      <x:c r="I271" s="194"/>
      <x:c r="J271" s="194"/>
      <x:c r="K271" s="194"/>
      <x:c r="L271" s="194"/>
      <x:c r="M271" s="195"/>
      <x:c r="N271" s="195"/>
      <x:c r="O271" s="195"/>
      <x:c r="P271" s="195"/>
      <x:c r="Q271" s="195"/>
      <x:c r="R271" s="195"/>
      <x:c r="S271" s="196" t="str">
        <x:f>IF(OR(M271="",N271="",Q271="",M271=0),"",ABS((M271-N271)/M271*Q271))</x:f>
      </x:c>
      <x:c r="T271" s="196" t="str">
        <x:f>IF(OR(M271="",N271="",O271="",M271=N271),"",ABS((O271-M271)/(M271-N271)))</x:f>
      </x:c>
      <x:c r="U271" s="195"/>
      <x:c r="V271" s="196" t="str">
        <x:f>IF(U271&lt;&gt;"",U271,IF(OR(P271="",M271="",Q271="",E271=""),"",IF(E271="做多",(P271-M271)/M271*Q271-R271,(M271-P271)/M271*Q271-R271)))</x:f>
      </x:c>
      <x:c r="W271" s="197" t="str">
        <x:f>IF(OR(V271="",S271="",S271=0),"",V271/S271)</x:f>
      </x:c>
      <x:c r="X271" s="198" t="str">
        <x:f>IF(V271="","",IF(V271&gt;0,"Win",IF(V271&lt;0,"Loss","BE")))</x:f>
      </x:c>
      <x:c r="Y271" s="194"/>
      <x:c r="Z271" s="194"/>
      <x:c r="AA271" s="194"/>
      <x:c r="AB271" s="194"/>
      <x:c r="AC271" s="194"/>
      <x:c r="AD271" s="196" t="str">
        <x:f>IF(A271="","",SUM($V$4:V271))</x:f>
      </x:c>
      <x:c r="AE271" s="196" t="str">
        <x:f>IF(AD271="","",MAX(0,$AD$4:AD271))</x:f>
      </x:c>
      <x:c r="AF271" s="199" t="str">
        <x:f>IF(AD271="","",AD271-AE271)</x:f>
      </x:c>
    </x:row>
    <x:row r="272">
      <x:c r="A272" s="192"/>
      <x:c r="B272" s="193"/>
      <x:c r="C272" s="193"/>
      <x:c r="D272" s="194"/>
      <x:c r="E272" s="194"/>
      <x:c r="F272" s="194"/>
      <x:c r="G272" s="194"/>
      <x:c r="H272" s="194"/>
      <x:c r="I272" s="194"/>
      <x:c r="J272" s="194"/>
      <x:c r="K272" s="194"/>
      <x:c r="L272" s="194"/>
      <x:c r="M272" s="195"/>
      <x:c r="N272" s="195"/>
      <x:c r="O272" s="195"/>
      <x:c r="P272" s="195"/>
      <x:c r="Q272" s="195"/>
      <x:c r="R272" s="195"/>
      <x:c r="S272" s="196" t="str">
        <x:f>IF(OR(M272="",N272="",Q272="",M272=0),"",ABS((M272-N272)/M272*Q272))</x:f>
      </x:c>
      <x:c r="T272" s="196" t="str">
        <x:f>IF(OR(M272="",N272="",O272="",M272=N272),"",ABS((O272-M272)/(M272-N272)))</x:f>
      </x:c>
      <x:c r="U272" s="195"/>
      <x:c r="V272" s="196" t="str">
        <x:f>IF(U272&lt;&gt;"",U272,IF(OR(P272="",M272="",Q272="",E272=""),"",IF(E272="做多",(P272-M272)/M272*Q272-R272,(M272-P272)/M272*Q272-R272)))</x:f>
      </x:c>
      <x:c r="W272" s="197" t="str">
        <x:f>IF(OR(V272="",S272="",S272=0),"",V272/S272)</x:f>
      </x:c>
      <x:c r="X272" s="198" t="str">
        <x:f>IF(V272="","",IF(V272&gt;0,"Win",IF(V272&lt;0,"Loss","BE")))</x:f>
      </x:c>
      <x:c r="Y272" s="194"/>
      <x:c r="Z272" s="194"/>
      <x:c r="AA272" s="194"/>
      <x:c r="AB272" s="194"/>
      <x:c r="AC272" s="194"/>
      <x:c r="AD272" s="196" t="str">
        <x:f>IF(A272="","",SUM($V$4:V272))</x:f>
      </x:c>
      <x:c r="AE272" s="196" t="str">
        <x:f>IF(AD272="","",MAX(0,$AD$4:AD272))</x:f>
      </x:c>
      <x:c r="AF272" s="199" t="str">
        <x:f>IF(AD272="","",AD272-AE272)</x:f>
      </x:c>
    </x:row>
    <x:row r="273">
      <x:c r="A273" s="192"/>
      <x:c r="B273" s="193"/>
      <x:c r="C273" s="193"/>
      <x:c r="D273" s="194"/>
      <x:c r="E273" s="194"/>
      <x:c r="F273" s="194"/>
      <x:c r="G273" s="194"/>
      <x:c r="H273" s="194"/>
      <x:c r="I273" s="194"/>
      <x:c r="J273" s="194"/>
      <x:c r="K273" s="194"/>
      <x:c r="L273" s="194"/>
      <x:c r="M273" s="195"/>
      <x:c r="N273" s="195"/>
      <x:c r="O273" s="195"/>
      <x:c r="P273" s="195"/>
      <x:c r="Q273" s="195"/>
      <x:c r="R273" s="195"/>
      <x:c r="S273" s="196" t="str">
        <x:f>IF(OR(M273="",N273="",Q273="",M273=0),"",ABS((M273-N273)/M273*Q273))</x:f>
      </x:c>
      <x:c r="T273" s="196" t="str">
        <x:f>IF(OR(M273="",N273="",O273="",M273=N273),"",ABS((O273-M273)/(M273-N273)))</x:f>
      </x:c>
      <x:c r="U273" s="195"/>
      <x:c r="V273" s="196" t="str">
        <x:f>IF(U273&lt;&gt;"",U273,IF(OR(P273="",M273="",Q273="",E273=""),"",IF(E273="做多",(P273-M273)/M273*Q273-R273,(M273-P273)/M273*Q273-R273)))</x:f>
      </x:c>
      <x:c r="W273" s="197" t="str">
        <x:f>IF(OR(V273="",S273="",S273=0),"",V273/S273)</x:f>
      </x:c>
      <x:c r="X273" s="198" t="str">
        <x:f>IF(V273="","",IF(V273&gt;0,"Win",IF(V273&lt;0,"Loss","BE")))</x:f>
      </x:c>
      <x:c r="Y273" s="194"/>
      <x:c r="Z273" s="194"/>
      <x:c r="AA273" s="194"/>
      <x:c r="AB273" s="194"/>
      <x:c r="AC273" s="194"/>
      <x:c r="AD273" s="196" t="str">
        <x:f>IF(A273="","",SUM($V$4:V273))</x:f>
      </x:c>
      <x:c r="AE273" s="196" t="str">
        <x:f>IF(AD273="","",MAX(0,$AD$4:AD273))</x:f>
      </x:c>
      <x:c r="AF273" s="199" t="str">
        <x:f>IF(AD273="","",AD273-AE273)</x:f>
      </x:c>
    </x:row>
    <x:row r="274">
      <x:c r="A274" s="192"/>
      <x:c r="B274" s="193"/>
      <x:c r="C274" s="193"/>
      <x:c r="D274" s="194"/>
      <x:c r="E274" s="194"/>
      <x:c r="F274" s="194"/>
      <x:c r="G274" s="194"/>
      <x:c r="H274" s="194"/>
      <x:c r="I274" s="194"/>
      <x:c r="J274" s="194"/>
      <x:c r="K274" s="194"/>
      <x:c r="L274" s="194"/>
      <x:c r="M274" s="195"/>
      <x:c r="N274" s="195"/>
      <x:c r="O274" s="195"/>
      <x:c r="P274" s="195"/>
      <x:c r="Q274" s="195"/>
      <x:c r="R274" s="195"/>
      <x:c r="S274" s="196" t="str">
        <x:f>IF(OR(M274="",N274="",Q274="",M274=0),"",ABS((M274-N274)/M274*Q274))</x:f>
      </x:c>
      <x:c r="T274" s="196" t="str">
        <x:f>IF(OR(M274="",N274="",O274="",M274=N274),"",ABS((O274-M274)/(M274-N274)))</x:f>
      </x:c>
      <x:c r="U274" s="195"/>
      <x:c r="V274" s="196" t="str">
        <x:f>IF(U274&lt;&gt;"",U274,IF(OR(P274="",M274="",Q274="",E274=""),"",IF(E274="做多",(P274-M274)/M274*Q274-R274,(M274-P274)/M274*Q274-R274)))</x:f>
      </x:c>
      <x:c r="W274" s="197" t="str">
        <x:f>IF(OR(V274="",S274="",S274=0),"",V274/S274)</x:f>
      </x:c>
      <x:c r="X274" s="198" t="str">
        <x:f>IF(V274="","",IF(V274&gt;0,"Win",IF(V274&lt;0,"Loss","BE")))</x:f>
      </x:c>
      <x:c r="Y274" s="194"/>
      <x:c r="Z274" s="194"/>
      <x:c r="AA274" s="194"/>
      <x:c r="AB274" s="194"/>
      <x:c r="AC274" s="194"/>
      <x:c r="AD274" s="196" t="str">
        <x:f>IF(A274="","",SUM($V$4:V274))</x:f>
      </x:c>
      <x:c r="AE274" s="196" t="str">
        <x:f>IF(AD274="","",MAX(0,$AD$4:AD274))</x:f>
      </x:c>
      <x:c r="AF274" s="199" t="str">
        <x:f>IF(AD274="","",AD274-AE274)</x:f>
      </x:c>
    </x:row>
    <x:row r="275">
      <x:c r="A275" s="192"/>
      <x:c r="B275" s="193"/>
      <x:c r="C275" s="193"/>
      <x:c r="D275" s="194"/>
      <x:c r="E275" s="194"/>
      <x:c r="F275" s="194"/>
      <x:c r="G275" s="194"/>
      <x:c r="H275" s="194"/>
      <x:c r="I275" s="194"/>
      <x:c r="J275" s="194"/>
      <x:c r="K275" s="194"/>
      <x:c r="L275" s="194"/>
      <x:c r="M275" s="195"/>
      <x:c r="N275" s="195"/>
      <x:c r="O275" s="195"/>
      <x:c r="P275" s="195"/>
      <x:c r="Q275" s="195"/>
      <x:c r="R275" s="195"/>
      <x:c r="S275" s="196" t="str">
        <x:f>IF(OR(M275="",N275="",Q275="",M275=0),"",ABS((M275-N275)/M275*Q275))</x:f>
      </x:c>
      <x:c r="T275" s="196" t="str">
        <x:f>IF(OR(M275="",N275="",O275="",M275=N275),"",ABS((O275-M275)/(M275-N275)))</x:f>
      </x:c>
      <x:c r="U275" s="195"/>
      <x:c r="V275" s="196" t="str">
        <x:f>IF(U275&lt;&gt;"",U275,IF(OR(P275="",M275="",Q275="",E275=""),"",IF(E275="做多",(P275-M275)/M275*Q275-R275,(M275-P275)/M275*Q275-R275)))</x:f>
      </x:c>
      <x:c r="W275" s="197" t="str">
        <x:f>IF(OR(V275="",S275="",S275=0),"",V275/S275)</x:f>
      </x:c>
      <x:c r="X275" s="198" t="str">
        <x:f>IF(V275="","",IF(V275&gt;0,"Win",IF(V275&lt;0,"Loss","BE")))</x:f>
      </x:c>
      <x:c r="Y275" s="194"/>
      <x:c r="Z275" s="194"/>
      <x:c r="AA275" s="194"/>
      <x:c r="AB275" s="194"/>
      <x:c r="AC275" s="194"/>
      <x:c r="AD275" s="196" t="str">
        <x:f>IF(A275="","",SUM($V$4:V275))</x:f>
      </x:c>
      <x:c r="AE275" s="196" t="str">
        <x:f>IF(AD275="","",MAX(0,$AD$4:AD275))</x:f>
      </x:c>
      <x:c r="AF275" s="199" t="str">
        <x:f>IF(AD275="","",AD275-AE275)</x:f>
      </x:c>
    </x:row>
    <x:row r="276">
      <x:c r="A276" s="192"/>
      <x:c r="B276" s="193"/>
      <x:c r="C276" s="193"/>
      <x:c r="D276" s="194"/>
      <x:c r="E276" s="194"/>
      <x:c r="F276" s="194"/>
      <x:c r="G276" s="194"/>
      <x:c r="H276" s="194"/>
      <x:c r="I276" s="194"/>
      <x:c r="J276" s="194"/>
      <x:c r="K276" s="194"/>
      <x:c r="L276" s="194"/>
      <x:c r="M276" s="195"/>
      <x:c r="N276" s="195"/>
      <x:c r="O276" s="195"/>
      <x:c r="P276" s="195"/>
      <x:c r="Q276" s="195"/>
      <x:c r="R276" s="195"/>
      <x:c r="S276" s="196" t="str">
        <x:f>IF(OR(M276="",N276="",Q276="",M276=0),"",ABS((M276-N276)/M276*Q276))</x:f>
      </x:c>
      <x:c r="T276" s="196" t="str">
        <x:f>IF(OR(M276="",N276="",O276="",M276=N276),"",ABS((O276-M276)/(M276-N276)))</x:f>
      </x:c>
      <x:c r="U276" s="195"/>
      <x:c r="V276" s="196" t="str">
        <x:f>IF(U276&lt;&gt;"",U276,IF(OR(P276="",M276="",Q276="",E276=""),"",IF(E276="做多",(P276-M276)/M276*Q276-R276,(M276-P276)/M276*Q276-R276)))</x:f>
      </x:c>
      <x:c r="W276" s="197" t="str">
        <x:f>IF(OR(V276="",S276="",S276=0),"",V276/S276)</x:f>
      </x:c>
      <x:c r="X276" s="198" t="str">
        <x:f>IF(V276="","",IF(V276&gt;0,"Win",IF(V276&lt;0,"Loss","BE")))</x:f>
      </x:c>
      <x:c r="Y276" s="194"/>
      <x:c r="Z276" s="194"/>
      <x:c r="AA276" s="194"/>
      <x:c r="AB276" s="194"/>
      <x:c r="AC276" s="194"/>
      <x:c r="AD276" s="196" t="str">
        <x:f>IF(A276="","",SUM($V$4:V276))</x:f>
      </x:c>
      <x:c r="AE276" s="196" t="str">
        <x:f>IF(AD276="","",MAX(0,$AD$4:AD276))</x:f>
      </x:c>
      <x:c r="AF276" s="199" t="str">
        <x:f>IF(AD276="","",AD276-AE276)</x:f>
      </x:c>
    </x:row>
    <x:row r="277">
      <x:c r="A277" s="192"/>
      <x:c r="B277" s="193"/>
      <x:c r="C277" s="193"/>
      <x:c r="D277" s="194"/>
      <x:c r="E277" s="194"/>
      <x:c r="F277" s="194"/>
      <x:c r="G277" s="194"/>
      <x:c r="H277" s="194"/>
      <x:c r="I277" s="194"/>
      <x:c r="J277" s="194"/>
      <x:c r="K277" s="194"/>
      <x:c r="L277" s="194"/>
      <x:c r="M277" s="195"/>
      <x:c r="N277" s="195"/>
      <x:c r="O277" s="195"/>
      <x:c r="P277" s="195"/>
      <x:c r="Q277" s="195"/>
      <x:c r="R277" s="195"/>
      <x:c r="S277" s="196" t="str">
        <x:f>IF(OR(M277="",N277="",Q277="",M277=0),"",ABS((M277-N277)/M277*Q277))</x:f>
      </x:c>
      <x:c r="T277" s="196" t="str">
        <x:f>IF(OR(M277="",N277="",O277="",M277=N277),"",ABS((O277-M277)/(M277-N277)))</x:f>
      </x:c>
      <x:c r="U277" s="195"/>
      <x:c r="V277" s="196" t="str">
        <x:f>IF(U277&lt;&gt;"",U277,IF(OR(P277="",M277="",Q277="",E277=""),"",IF(E277="做多",(P277-M277)/M277*Q277-R277,(M277-P277)/M277*Q277-R277)))</x:f>
      </x:c>
      <x:c r="W277" s="197" t="str">
        <x:f>IF(OR(V277="",S277="",S277=0),"",V277/S277)</x:f>
      </x:c>
      <x:c r="X277" s="198" t="str">
        <x:f>IF(V277="","",IF(V277&gt;0,"Win",IF(V277&lt;0,"Loss","BE")))</x:f>
      </x:c>
      <x:c r="Y277" s="194"/>
      <x:c r="Z277" s="194"/>
      <x:c r="AA277" s="194"/>
      <x:c r="AB277" s="194"/>
      <x:c r="AC277" s="194"/>
      <x:c r="AD277" s="196" t="str">
        <x:f>IF(A277="","",SUM($V$4:V277))</x:f>
      </x:c>
      <x:c r="AE277" s="196" t="str">
        <x:f>IF(AD277="","",MAX(0,$AD$4:AD277))</x:f>
      </x:c>
      <x:c r="AF277" s="199" t="str">
        <x:f>IF(AD277="","",AD277-AE277)</x:f>
      </x:c>
    </x:row>
    <x:row r="278">
      <x:c r="A278" s="192"/>
      <x:c r="B278" s="193"/>
      <x:c r="C278" s="193"/>
      <x:c r="D278" s="194"/>
      <x:c r="E278" s="194"/>
      <x:c r="F278" s="194"/>
      <x:c r="G278" s="194"/>
      <x:c r="H278" s="194"/>
      <x:c r="I278" s="194"/>
      <x:c r="J278" s="194"/>
      <x:c r="K278" s="194"/>
      <x:c r="L278" s="194"/>
      <x:c r="M278" s="195"/>
      <x:c r="N278" s="195"/>
      <x:c r="O278" s="195"/>
      <x:c r="P278" s="195"/>
      <x:c r="Q278" s="195"/>
      <x:c r="R278" s="195"/>
      <x:c r="S278" s="196" t="str">
        <x:f>IF(OR(M278="",N278="",Q278="",M278=0),"",ABS((M278-N278)/M278*Q278))</x:f>
      </x:c>
      <x:c r="T278" s="196" t="str">
        <x:f>IF(OR(M278="",N278="",O278="",M278=N278),"",ABS((O278-M278)/(M278-N278)))</x:f>
      </x:c>
      <x:c r="U278" s="195"/>
      <x:c r="V278" s="196" t="str">
        <x:f>IF(U278&lt;&gt;"",U278,IF(OR(P278="",M278="",Q278="",E278=""),"",IF(E278="做多",(P278-M278)/M278*Q278-R278,(M278-P278)/M278*Q278-R278)))</x:f>
      </x:c>
      <x:c r="W278" s="197" t="str">
        <x:f>IF(OR(V278="",S278="",S278=0),"",V278/S278)</x:f>
      </x:c>
      <x:c r="X278" s="198" t="str">
        <x:f>IF(V278="","",IF(V278&gt;0,"Win",IF(V278&lt;0,"Loss","BE")))</x:f>
      </x:c>
      <x:c r="Y278" s="194"/>
      <x:c r="Z278" s="194"/>
      <x:c r="AA278" s="194"/>
      <x:c r="AB278" s="194"/>
      <x:c r="AC278" s="194"/>
      <x:c r="AD278" s="196" t="str">
        <x:f>IF(A278="","",SUM($V$4:V278))</x:f>
      </x:c>
      <x:c r="AE278" s="196" t="str">
        <x:f>IF(AD278="","",MAX(0,$AD$4:AD278))</x:f>
      </x:c>
      <x:c r="AF278" s="199" t="str">
        <x:f>IF(AD278="","",AD278-AE278)</x:f>
      </x:c>
    </x:row>
    <x:row r="279">
      <x:c r="A279" s="192"/>
      <x:c r="B279" s="193"/>
      <x:c r="C279" s="193"/>
      <x:c r="D279" s="194"/>
      <x:c r="E279" s="194"/>
      <x:c r="F279" s="194"/>
      <x:c r="G279" s="194"/>
      <x:c r="H279" s="194"/>
      <x:c r="I279" s="194"/>
      <x:c r="J279" s="194"/>
      <x:c r="K279" s="194"/>
      <x:c r="L279" s="194"/>
      <x:c r="M279" s="195"/>
      <x:c r="N279" s="195"/>
      <x:c r="O279" s="195"/>
      <x:c r="P279" s="195"/>
      <x:c r="Q279" s="195"/>
      <x:c r="R279" s="195"/>
      <x:c r="S279" s="196" t="str">
        <x:f>IF(OR(M279="",N279="",Q279="",M279=0),"",ABS((M279-N279)/M279*Q279))</x:f>
      </x:c>
      <x:c r="T279" s="196" t="str">
        <x:f>IF(OR(M279="",N279="",O279="",M279=N279),"",ABS((O279-M279)/(M279-N279)))</x:f>
      </x:c>
      <x:c r="U279" s="195"/>
      <x:c r="V279" s="196" t="str">
        <x:f>IF(U279&lt;&gt;"",U279,IF(OR(P279="",M279="",Q279="",E279=""),"",IF(E279="做多",(P279-M279)/M279*Q279-R279,(M279-P279)/M279*Q279-R279)))</x:f>
      </x:c>
      <x:c r="W279" s="197" t="str">
        <x:f>IF(OR(V279="",S279="",S279=0),"",V279/S279)</x:f>
      </x:c>
      <x:c r="X279" s="198" t="str">
        <x:f>IF(V279="","",IF(V279&gt;0,"Win",IF(V279&lt;0,"Loss","BE")))</x:f>
      </x:c>
      <x:c r="Y279" s="194"/>
      <x:c r="Z279" s="194"/>
      <x:c r="AA279" s="194"/>
      <x:c r="AB279" s="194"/>
      <x:c r="AC279" s="194"/>
      <x:c r="AD279" s="196" t="str">
        <x:f>IF(A279="","",SUM($V$4:V279))</x:f>
      </x:c>
      <x:c r="AE279" s="196" t="str">
        <x:f>IF(AD279="","",MAX(0,$AD$4:AD279))</x:f>
      </x:c>
      <x:c r="AF279" s="199" t="str">
        <x:f>IF(AD279="","",AD279-AE279)</x:f>
      </x:c>
    </x:row>
    <x:row r="280">
      <x:c r="A280" s="192"/>
      <x:c r="B280" s="193"/>
      <x:c r="C280" s="193"/>
      <x:c r="D280" s="194"/>
      <x:c r="E280" s="194"/>
      <x:c r="F280" s="194"/>
      <x:c r="G280" s="194"/>
      <x:c r="H280" s="194"/>
      <x:c r="I280" s="194"/>
      <x:c r="J280" s="194"/>
      <x:c r="K280" s="194"/>
      <x:c r="L280" s="194"/>
      <x:c r="M280" s="195"/>
      <x:c r="N280" s="195"/>
      <x:c r="O280" s="195"/>
      <x:c r="P280" s="195"/>
      <x:c r="Q280" s="195"/>
      <x:c r="R280" s="195"/>
      <x:c r="S280" s="196" t="str">
        <x:f>IF(OR(M280="",N280="",Q280="",M280=0),"",ABS((M280-N280)/M280*Q280))</x:f>
      </x:c>
      <x:c r="T280" s="196" t="str">
        <x:f>IF(OR(M280="",N280="",O280="",M280=N280),"",ABS((O280-M280)/(M280-N280)))</x:f>
      </x:c>
      <x:c r="U280" s="195"/>
      <x:c r="V280" s="196" t="str">
        <x:f>IF(U280&lt;&gt;"",U280,IF(OR(P280="",M280="",Q280="",E280=""),"",IF(E280="做多",(P280-M280)/M280*Q280-R280,(M280-P280)/M280*Q280-R280)))</x:f>
      </x:c>
      <x:c r="W280" s="197" t="str">
        <x:f>IF(OR(V280="",S280="",S280=0),"",V280/S280)</x:f>
      </x:c>
      <x:c r="X280" s="198" t="str">
        <x:f>IF(V280="","",IF(V280&gt;0,"Win",IF(V280&lt;0,"Loss","BE")))</x:f>
      </x:c>
      <x:c r="Y280" s="194"/>
      <x:c r="Z280" s="194"/>
      <x:c r="AA280" s="194"/>
      <x:c r="AB280" s="194"/>
      <x:c r="AC280" s="194"/>
      <x:c r="AD280" s="196" t="str">
        <x:f>IF(A280="","",SUM($V$4:V280))</x:f>
      </x:c>
      <x:c r="AE280" s="196" t="str">
        <x:f>IF(AD280="","",MAX(0,$AD$4:AD280))</x:f>
      </x:c>
      <x:c r="AF280" s="199" t="str">
        <x:f>IF(AD280="","",AD280-AE280)</x:f>
      </x:c>
    </x:row>
    <x:row r="281">
      <x:c r="A281" s="192"/>
      <x:c r="B281" s="193"/>
      <x:c r="C281" s="193"/>
      <x:c r="D281" s="194"/>
      <x:c r="E281" s="194"/>
      <x:c r="F281" s="194"/>
      <x:c r="G281" s="194"/>
      <x:c r="H281" s="194"/>
      <x:c r="I281" s="194"/>
      <x:c r="J281" s="194"/>
      <x:c r="K281" s="194"/>
      <x:c r="L281" s="194"/>
      <x:c r="M281" s="195"/>
      <x:c r="N281" s="195"/>
      <x:c r="O281" s="195"/>
      <x:c r="P281" s="195"/>
      <x:c r="Q281" s="195"/>
      <x:c r="R281" s="195"/>
      <x:c r="S281" s="196" t="str">
        <x:f>IF(OR(M281="",N281="",Q281="",M281=0),"",ABS((M281-N281)/M281*Q281))</x:f>
      </x:c>
      <x:c r="T281" s="196" t="str">
        <x:f>IF(OR(M281="",N281="",O281="",M281=N281),"",ABS((O281-M281)/(M281-N281)))</x:f>
      </x:c>
      <x:c r="U281" s="195"/>
      <x:c r="V281" s="196" t="str">
        <x:f>IF(U281&lt;&gt;"",U281,IF(OR(P281="",M281="",Q281="",E281=""),"",IF(E281="做多",(P281-M281)/M281*Q281-R281,(M281-P281)/M281*Q281-R281)))</x:f>
      </x:c>
      <x:c r="W281" s="197" t="str">
        <x:f>IF(OR(V281="",S281="",S281=0),"",V281/S281)</x:f>
      </x:c>
      <x:c r="X281" s="198" t="str">
        <x:f>IF(V281="","",IF(V281&gt;0,"Win",IF(V281&lt;0,"Loss","BE")))</x:f>
      </x:c>
      <x:c r="Y281" s="194"/>
      <x:c r="Z281" s="194"/>
      <x:c r="AA281" s="194"/>
      <x:c r="AB281" s="194"/>
      <x:c r="AC281" s="194"/>
      <x:c r="AD281" s="196" t="str">
        <x:f>IF(A281="","",SUM($V$4:V281))</x:f>
      </x:c>
      <x:c r="AE281" s="196" t="str">
        <x:f>IF(AD281="","",MAX(0,$AD$4:AD281))</x:f>
      </x:c>
      <x:c r="AF281" s="199" t="str">
        <x:f>IF(AD281="","",AD281-AE281)</x:f>
      </x:c>
    </x:row>
    <x:row r="282">
      <x:c r="A282" s="192"/>
      <x:c r="B282" s="193"/>
      <x:c r="C282" s="193"/>
      <x:c r="D282" s="194"/>
      <x:c r="E282" s="194"/>
      <x:c r="F282" s="194"/>
      <x:c r="G282" s="194"/>
      <x:c r="H282" s="194"/>
      <x:c r="I282" s="194"/>
      <x:c r="J282" s="194"/>
      <x:c r="K282" s="194"/>
      <x:c r="L282" s="194"/>
      <x:c r="M282" s="195"/>
      <x:c r="N282" s="195"/>
      <x:c r="O282" s="195"/>
      <x:c r="P282" s="195"/>
      <x:c r="Q282" s="195"/>
      <x:c r="R282" s="195"/>
      <x:c r="S282" s="196" t="str">
        <x:f>IF(OR(M282="",N282="",Q282="",M282=0),"",ABS((M282-N282)/M282*Q282))</x:f>
      </x:c>
      <x:c r="T282" s="196" t="str">
        <x:f>IF(OR(M282="",N282="",O282="",M282=N282),"",ABS((O282-M282)/(M282-N282)))</x:f>
      </x:c>
      <x:c r="U282" s="195"/>
      <x:c r="V282" s="196" t="str">
        <x:f>IF(U282&lt;&gt;"",U282,IF(OR(P282="",M282="",Q282="",E282=""),"",IF(E282="做多",(P282-M282)/M282*Q282-R282,(M282-P282)/M282*Q282-R282)))</x:f>
      </x:c>
      <x:c r="W282" s="197" t="str">
        <x:f>IF(OR(V282="",S282="",S282=0),"",V282/S282)</x:f>
      </x:c>
      <x:c r="X282" s="198" t="str">
        <x:f>IF(V282="","",IF(V282&gt;0,"Win",IF(V282&lt;0,"Loss","BE")))</x:f>
      </x:c>
      <x:c r="Y282" s="194"/>
      <x:c r="Z282" s="194"/>
      <x:c r="AA282" s="194"/>
      <x:c r="AB282" s="194"/>
      <x:c r="AC282" s="194"/>
      <x:c r="AD282" s="196" t="str">
        <x:f>IF(A282="","",SUM($V$4:V282))</x:f>
      </x:c>
      <x:c r="AE282" s="196" t="str">
        <x:f>IF(AD282="","",MAX(0,$AD$4:AD282))</x:f>
      </x:c>
      <x:c r="AF282" s="199" t="str">
        <x:f>IF(AD282="","",AD282-AE282)</x:f>
      </x:c>
    </x:row>
    <x:row r="283">
      <x:c r="A283" s="192"/>
      <x:c r="B283" s="193"/>
      <x:c r="C283" s="193"/>
      <x:c r="D283" s="194"/>
      <x:c r="E283" s="194"/>
      <x:c r="F283" s="194"/>
      <x:c r="G283" s="194"/>
      <x:c r="H283" s="194"/>
      <x:c r="I283" s="194"/>
      <x:c r="J283" s="194"/>
      <x:c r="K283" s="194"/>
      <x:c r="L283" s="194"/>
      <x:c r="M283" s="195"/>
      <x:c r="N283" s="195"/>
      <x:c r="O283" s="195"/>
      <x:c r="P283" s="195"/>
      <x:c r="Q283" s="195"/>
      <x:c r="R283" s="195"/>
      <x:c r="S283" s="196" t="str">
        <x:f>IF(OR(M283="",N283="",Q283="",M283=0),"",ABS((M283-N283)/M283*Q283))</x:f>
      </x:c>
      <x:c r="T283" s="196" t="str">
        <x:f>IF(OR(M283="",N283="",O283="",M283=N283),"",ABS((O283-M283)/(M283-N283)))</x:f>
      </x:c>
      <x:c r="U283" s="195"/>
      <x:c r="V283" s="196" t="str">
        <x:f>IF(U283&lt;&gt;"",U283,IF(OR(P283="",M283="",Q283="",E283=""),"",IF(E283="做多",(P283-M283)/M283*Q283-R283,(M283-P283)/M283*Q283-R283)))</x:f>
      </x:c>
      <x:c r="W283" s="197" t="str">
        <x:f>IF(OR(V283="",S283="",S283=0),"",V283/S283)</x:f>
      </x:c>
      <x:c r="X283" s="198" t="str">
        <x:f>IF(V283="","",IF(V283&gt;0,"Win",IF(V283&lt;0,"Loss","BE")))</x:f>
      </x:c>
      <x:c r="Y283" s="194"/>
      <x:c r="Z283" s="194"/>
      <x:c r="AA283" s="194"/>
      <x:c r="AB283" s="194"/>
      <x:c r="AC283" s="194"/>
      <x:c r="AD283" s="196" t="str">
        <x:f>IF(A283="","",SUM($V$4:V283))</x:f>
      </x:c>
      <x:c r="AE283" s="196" t="str">
        <x:f>IF(AD283="","",MAX(0,$AD$4:AD283))</x:f>
      </x:c>
      <x:c r="AF283" s="199" t="str">
        <x:f>IF(AD283="","",AD283-AE283)</x:f>
      </x:c>
    </x:row>
    <x:row r="284">
      <x:c r="A284" s="192"/>
      <x:c r="B284" s="193"/>
      <x:c r="C284" s="193"/>
      <x:c r="D284" s="194"/>
      <x:c r="E284" s="194"/>
      <x:c r="F284" s="194"/>
      <x:c r="G284" s="194"/>
      <x:c r="H284" s="194"/>
      <x:c r="I284" s="194"/>
      <x:c r="J284" s="194"/>
      <x:c r="K284" s="194"/>
      <x:c r="L284" s="194"/>
      <x:c r="M284" s="195"/>
      <x:c r="N284" s="195"/>
      <x:c r="O284" s="195"/>
      <x:c r="P284" s="195"/>
      <x:c r="Q284" s="195"/>
      <x:c r="R284" s="195"/>
      <x:c r="S284" s="196" t="str">
        <x:f>IF(OR(M284="",N284="",Q284="",M284=0),"",ABS((M284-N284)/M284*Q284))</x:f>
      </x:c>
      <x:c r="T284" s="196" t="str">
        <x:f>IF(OR(M284="",N284="",O284="",M284=N284),"",ABS((O284-M284)/(M284-N284)))</x:f>
      </x:c>
      <x:c r="U284" s="195"/>
      <x:c r="V284" s="196" t="str">
        <x:f>IF(U284&lt;&gt;"",U284,IF(OR(P284="",M284="",Q284="",E284=""),"",IF(E284="做多",(P284-M284)/M284*Q284-R284,(M284-P284)/M284*Q284-R284)))</x:f>
      </x:c>
      <x:c r="W284" s="197" t="str">
        <x:f>IF(OR(V284="",S284="",S284=0),"",V284/S284)</x:f>
      </x:c>
      <x:c r="X284" s="198" t="str">
        <x:f>IF(V284="","",IF(V284&gt;0,"Win",IF(V284&lt;0,"Loss","BE")))</x:f>
      </x:c>
      <x:c r="Y284" s="194"/>
      <x:c r="Z284" s="194"/>
      <x:c r="AA284" s="194"/>
      <x:c r="AB284" s="194"/>
      <x:c r="AC284" s="194"/>
      <x:c r="AD284" s="196" t="str">
        <x:f>IF(A284="","",SUM($V$4:V284))</x:f>
      </x:c>
      <x:c r="AE284" s="196" t="str">
        <x:f>IF(AD284="","",MAX(0,$AD$4:AD284))</x:f>
      </x:c>
      <x:c r="AF284" s="199" t="str">
        <x:f>IF(AD284="","",AD284-AE284)</x:f>
      </x:c>
    </x:row>
    <x:row r="285">
      <x:c r="A285" s="192"/>
      <x:c r="B285" s="193"/>
      <x:c r="C285" s="193"/>
      <x:c r="D285" s="194"/>
      <x:c r="E285" s="194"/>
      <x:c r="F285" s="194"/>
      <x:c r="G285" s="194"/>
      <x:c r="H285" s="194"/>
      <x:c r="I285" s="194"/>
      <x:c r="J285" s="194"/>
      <x:c r="K285" s="194"/>
      <x:c r="L285" s="194"/>
      <x:c r="M285" s="195"/>
      <x:c r="N285" s="195"/>
      <x:c r="O285" s="195"/>
      <x:c r="P285" s="195"/>
      <x:c r="Q285" s="195"/>
      <x:c r="R285" s="195"/>
      <x:c r="S285" s="196" t="str">
        <x:f>IF(OR(M285="",N285="",Q285="",M285=0),"",ABS((M285-N285)/M285*Q285))</x:f>
      </x:c>
      <x:c r="T285" s="196" t="str">
        <x:f>IF(OR(M285="",N285="",O285="",M285=N285),"",ABS((O285-M285)/(M285-N285)))</x:f>
      </x:c>
      <x:c r="U285" s="195"/>
      <x:c r="V285" s="196" t="str">
        <x:f>IF(U285&lt;&gt;"",U285,IF(OR(P285="",M285="",Q285="",E285=""),"",IF(E285="做多",(P285-M285)/M285*Q285-R285,(M285-P285)/M285*Q285-R285)))</x:f>
      </x:c>
      <x:c r="W285" s="197" t="str">
        <x:f>IF(OR(V285="",S285="",S285=0),"",V285/S285)</x:f>
      </x:c>
      <x:c r="X285" s="198" t="str">
        <x:f>IF(V285="","",IF(V285&gt;0,"Win",IF(V285&lt;0,"Loss","BE")))</x:f>
      </x:c>
      <x:c r="Y285" s="194"/>
      <x:c r="Z285" s="194"/>
      <x:c r="AA285" s="194"/>
      <x:c r="AB285" s="194"/>
      <x:c r="AC285" s="194"/>
      <x:c r="AD285" s="196" t="str">
        <x:f>IF(A285="","",SUM($V$4:V285))</x:f>
      </x:c>
      <x:c r="AE285" s="196" t="str">
        <x:f>IF(AD285="","",MAX(0,$AD$4:AD285))</x:f>
      </x:c>
      <x:c r="AF285" s="199" t="str">
        <x:f>IF(AD285="","",AD285-AE285)</x:f>
      </x:c>
    </x:row>
    <x:row r="286">
      <x:c r="A286" s="192"/>
      <x:c r="B286" s="193"/>
      <x:c r="C286" s="193"/>
      <x:c r="D286" s="194"/>
      <x:c r="E286" s="194"/>
      <x:c r="F286" s="194"/>
      <x:c r="G286" s="194"/>
      <x:c r="H286" s="194"/>
      <x:c r="I286" s="194"/>
      <x:c r="J286" s="194"/>
      <x:c r="K286" s="194"/>
      <x:c r="L286" s="194"/>
      <x:c r="M286" s="195"/>
      <x:c r="N286" s="195"/>
      <x:c r="O286" s="195"/>
      <x:c r="P286" s="195"/>
      <x:c r="Q286" s="195"/>
      <x:c r="R286" s="195"/>
      <x:c r="S286" s="196" t="str">
        <x:f>IF(OR(M286="",N286="",Q286="",M286=0),"",ABS((M286-N286)/M286*Q286))</x:f>
      </x:c>
      <x:c r="T286" s="196" t="str">
        <x:f>IF(OR(M286="",N286="",O286="",M286=N286),"",ABS((O286-M286)/(M286-N286)))</x:f>
      </x:c>
      <x:c r="U286" s="195"/>
      <x:c r="V286" s="196" t="str">
        <x:f>IF(U286&lt;&gt;"",U286,IF(OR(P286="",M286="",Q286="",E286=""),"",IF(E286="做多",(P286-M286)/M286*Q286-R286,(M286-P286)/M286*Q286-R286)))</x:f>
      </x:c>
      <x:c r="W286" s="197" t="str">
        <x:f>IF(OR(V286="",S286="",S286=0),"",V286/S286)</x:f>
      </x:c>
      <x:c r="X286" s="198" t="str">
        <x:f>IF(V286="","",IF(V286&gt;0,"Win",IF(V286&lt;0,"Loss","BE")))</x:f>
      </x:c>
      <x:c r="Y286" s="194"/>
      <x:c r="Z286" s="194"/>
      <x:c r="AA286" s="194"/>
      <x:c r="AB286" s="194"/>
      <x:c r="AC286" s="194"/>
      <x:c r="AD286" s="196" t="str">
        <x:f>IF(A286="","",SUM($V$4:V286))</x:f>
      </x:c>
      <x:c r="AE286" s="196" t="str">
        <x:f>IF(AD286="","",MAX(0,$AD$4:AD286))</x:f>
      </x:c>
      <x:c r="AF286" s="199" t="str">
        <x:f>IF(AD286="","",AD286-AE286)</x:f>
      </x:c>
    </x:row>
    <x:row r="287">
      <x:c r="A287" s="192"/>
      <x:c r="B287" s="193"/>
      <x:c r="C287" s="193"/>
      <x:c r="D287" s="194"/>
      <x:c r="E287" s="194"/>
      <x:c r="F287" s="194"/>
      <x:c r="G287" s="194"/>
      <x:c r="H287" s="194"/>
      <x:c r="I287" s="194"/>
      <x:c r="J287" s="194"/>
      <x:c r="K287" s="194"/>
      <x:c r="L287" s="194"/>
      <x:c r="M287" s="195"/>
      <x:c r="N287" s="195"/>
      <x:c r="O287" s="195"/>
      <x:c r="P287" s="195"/>
      <x:c r="Q287" s="195"/>
      <x:c r="R287" s="195"/>
      <x:c r="S287" s="196" t="str">
        <x:f>IF(OR(M287="",N287="",Q287="",M287=0),"",ABS((M287-N287)/M287*Q287))</x:f>
      </x:c>
      <x:c r="T287" s="196" t="str">
        <x:f>IF(OR(M287="",N287="",O287="",M287=N287),"",ABS((O287-M287)/(M287-N287)))</x:f>
      </x:c>
      <x:c r="U287" s="195"/>
      <x:c r="V287" s="196" t="str">
        <x:f>IF(U287&lt;&gt;"",U287,IF(OR(P287="",M287="",Q287="",E287=""),"",IF(E287="做多",(P287-M287)/M287*Q287-R287,(M287-P287)/M287*Q287-R287)))</x:f>
      </x:c>
      <x:c r="W287" s="197" t="str">
        <x:f>IF(OR(V287="",S287="",S287=0),"",V287/S287)</x:f>
      </x:c>
      <x:c r="X287" s="198" t="str">
        <x:f>IF(V287="","",IF(V287&gt;0,"Win",IF(V287&lt;0,"Loss","BE")))</x:f>
      </x:c>
      <x:c r="Y287" s="194"/>
      <x:c r="Z287" s="194"/>
      <x:c r="AA287" s="194"/>
      <x:c r="AB287" s="194"/>
      <x:c r="AC287" s="194"/>
      <x:c r="AD287" s="196" t="str">
        <x:f>IF(A287="","",SUM($V$4:V287))</x:f>
      </x:c>
      <x:c r="AE287" s="196" t="str">
        <x:f>IF(AD287="","",MAX(0,$AD$4:AD287))</x:f>
      </x:c>
      <x:c r="AF287" s="199" t="str">
        <x:f>IF(AD287="","",AD287-AE287)</x:f>
      </x:c>
    </x:row>
    <x:row r="288">
      <x:c r="A288" s="192"/>
      <x:c r="B288" s="193"/>
      <x:c r="C288" s="193"/>
      <x:c r="D288" s="194"/>
      <x:c r="E288" s="194"/>
      <x:c r="F288" s="194"/>
      <x:c r="G288" s="194"/>
      <x:c r="H288" s="194"/>
      <x:c r="I288" s="194"/>
      <x:c r="J288" s="194"/>
      <x:c r="K288" s="194"/>
      <x:c r="L288" s="194"/>
      <x:c r="M288" s="195"/>
      <x:c r="N288" s="195"/>
      <x:c r="O288" s="195"/>
      <x:c r="P288" s="195"/>
      <x:c r="Q288" s="195"/>
      <x:c r="R288" s="195"/>
      <x:c r="S288" s="196" t="str">
        <x:f>IF(OR(M288="",N288="",Q288="",M288=0),"",ABS((M288-N288)/M288*Q288))</x:f>
      </x:c>
      <x:c r="T288" s="196" t="str">
        <x:f>IF(OR(M288="",N288="",O288="",M288=N288),"",ABS((O288-M288)/(M288-N288)))</x:f>
      </x:c>
      <x:c r="U288" s="195"/>
      <x:c r="V288" s="196" t="str">
        <x:f>IF(U288&lt;&gt;"",U288,IF(OR(P288="",M288="",Q288="",E288=""),"",IF(E288="做多",(P288-M288)/M288*Q288-R288,(M288-P288)/M288*Q288-R288)))</x:f>
      </x:c>
      <x:c r="W288" s="197" t="str">
        <x:f>IF(OR(V288="",S288="",S288=0),"",V288/S288)</x:f>
      </x:c>
      <x:c r="X288" s="198" t="str">
        <x:f>IF(V288="","",IF(V288&gt;0,"Win",IF(V288&lt;0,"Loss","BE")))</x:f>
      </x:c>
      <x:c r="Y288" s="194"/>
      <x:c r="Z288" s="194"/>
      <x:c r="AA288" s="194"/>
      <x:c r="AB288" s="194"/>
      <x:c r="AC288" s="194"/>
      <x:c r="AD288" s="196" t="str">
        <x:f>IF(A288="","",SUM($V$4:V288))</x:f>
      </x:c>
      <x:c r="AE288" s="196" t="str">
        <x:f>IF(AD288="","",MAX(0,$AD$4:AD288))</x:f>
      </x:c>
      <x:c r="AF288" s="199" t="str">
        <x:f>IF(AD288="","",AD288-AE288)</x:f>
      </x:c>
    </x:row>
    <x:row r="289">
      <x:c r="A289" s="192"/>
      <x:c r="B289" s="193"/>
      <x:c r="C289" s="193"/>
      <x:c r="D289" s="194"/>
      <x:c r="E289" s="194"/>
      <x:c r="F289" s="194"/>
      <x:c r="G289" s="194"/>
      <x:c r="H289" s="194"/>
      <x:c r="I289" s="194"/>
      <x:c r="J289" s="194"/>
      <x:c r="K289" s="194"/>
      <x:c r="L289" s="194"/>
      <x:c r="M289" s="195"/>
      <x:c r="N289" s="195"/>
      <x:c r="O289" s="195"/>
      <x:c r="P289" s="195"/>
      <x:c r="Q289" s="195"/>
      <x:c r="R289" s="195"/>
      <x:c r="S289" s="196" t="str">
        <x:f>IF(OR(M289="",N289="",Q289="",M289=0),"",ABS((M289-N289)/M289*Q289))</x:f>
      </x:c>
      <x:c r="T289" s="196" t="str">
        <x:f>IF(OR(M289="",N289="",O289="",M289=N289),"",ABS((O289-M289)/(M289-N289)))</x:f>
      </x:c>
      <x:c r="U289" s="195"/>
      <x:c r="V289" s="196" t="str">
        <x:f>IF(U289&lt;&gt;"",U289,IF(OR(P289="",M289="",Q289="",E289=""),"",IF(E289="做多",(P289-M289)/M289*Q289-R289,(M289-P289)/M289*Q289-R289)))</x:f>
      </x:c>
      <x:c r="W289" s="197" t="str">
        <x:f>IF(OR(V289="",S289="",S289=0),"",V289/S289)</x:f>
      </x:c>
      <x:c r="X289" s="198" t="str">
        <x:f>IF(V289="","",IF(V289&gt;0,"Win",IF(V289&lt;0,"Loss","BE")))</x:f>
      </x:c>
      <x:c r="Y289" s="194"/>
      <x:c r="Z289" s="194"/>
      <x:c r="AA289" s="194"/>
      <x:c r="AB289" s="194"/>
      <x:c r="AC289" s="194"/>
      <x:c r="AD289" s="196" t="str">
        <x:f>IF(A289="","",SUM($V$4:V289))</x:f>
      </x:c>
      <x:c r="AE289" s="196" t="str">
        <x:f>IF(AD289="","",MAX(0,$AD$4:AD289))</x:f>
      </x:c>
      <x:c r="AF289" s="199" t="str">
        <x:f>IF(AD289="","",AD289-AE289)</x:f>
      </x:c>
    </x:row>
    <x:row r="290">
      <x:c r="A290" s="192"/>
      <x:c r="B290" s="193"/>
      <x:c r="C290" s="193"/>
      <x:c r="D290" s="194"/>
      <x:c r="E290" s="194"/>
      <x:c r="F290" s="194"/>
      <x:c r="G290" s="194"/>
      <x:c r="H290" s="194"/>
      <x:c r="I290" s="194"/>
      <x:c r="J290" s="194"/>
      <x:c r="K290" s="194"/>
      <x:c r="L290" s="194"/>
      <x:c r="M290" s="195"/>
      <x:c r="N290" s="195"/>
      <x:c r="O290" s="195"/>
      <x:c r="P290" s="195"/>
      <x:c r="Q290" s="195"/>
      <x:c r="R290" s="195"/>
      <x:c r="S290" s="196" t="str">
        <x:f>IF(OR(M290="",N290="",Q290="",M290=0),"",ABS((M290-N290)/M290*Q290))</x:f>
      </x:c>
      <x:c r="T290" s="196" t="str">
        <x:f>IF(OR(M290="",N290="",O290="",M290=N290),"",ABS((O290-M290)/(M290-N290)))</x:f>
      </x:c>
      <x:c r="U290" s="195"/>
      <x:c r="V290" s="196" t="str">
        <x:f>IF(U290&lt;&gt;"",U290,IF(OR(P290="",M290="",Q290="",E290=""),"",IF(E290="做多",(P290-M290)/M290*Q290-R290,(M290-P290)/M290*Q290-R290)))</x:f>
      </x:c>
      <x:c r="W290" s="197" t="str">
        <x:f>IF(OR(V290="",S290="",S290=0),"",V290/S290)</x:f>
      </x:c>
      <x:c r="X290" s="198" t="str">
        <x:f>IF(V290="","",IF(V290&gt;0,"Win",IF(V290&lt;0,"Loss","BE")))</x:f>
      </x:c>
      <x:c r="Y290" s="194"/>
      <x:c r="Z290" s="194"/>
      <x:c r="AA290" s="194"/>
      <x:c r="AB290" s="194"/>
      <x:c r="AC290" s="194"/>
      <x:c r="AD290" s="196" t="str">
        <x:f>IF(A290="","",SUM($V$4:V290))</x:f>
      </x:c>
      <x:c r="AE290" s="196" t="str">
        <x:f>IF(AD290="","",MAX(0,$AD$4:AD290))</x:f>
      </x:c>
      <x:c r="AF290" s="199" t="str">
        <x:f>IF(AD290="","",AD290-AE290)</x:f>
      </x:c>
    </x:row>
    <x:row r="291">
      <x:c r="A291" s="192"/>
      <x:c r="B291" s="193"/>
      <x:c r="C291" s="193"/>
      <x:c r="D291" s="194"/>
      <x:c r="E291" s="194"/>
      <x:c r="F291" s="194"/>
      <x:c r="G291" s="194"/>
      <x:c r="H291" s="194"/>
      <x:c r="I291" s="194"/>
      <x:c r="J291" s="194"/>
      <x:c r="K291" s="194"/>
      <x:c r="L291" s="194"/>
      <x:c r="M291" s="195"/>
      <x:c r="N291" s="195"/>
      <x:c r="O291" s="195"/>
      <x:c r="P291" s="195"/>
      <x:c r="Q291" s="195"/>
      <x:c r="R291" s="195"/>
      <x:c r="S291" s="196" t="str">
        <x:f>IF(OR(M291="",N291="",Q291="",M291=0),"",ABS((M291-N291)/M291*Q291))</x:f>
      </x:c>
      <x:c r="T291" s="196" t="str">
        <x:f>IF(OR(M291="",N291="",O291="",M291=N291),"",ABS((O291-M291)/(M291-N291)))</x:f>
      </x:c>
      <x:c r="U291" s="195"/>
      <x:c r="V291" s="196" t="str">
        <x:f>IF(U291&lt;&gt;"",U291,IF(OR(P291="",M291="",Q291="",E291=""),"",IF(E291="做多",(P291-M291)/M291*Q291-R291,(M291-P291)/M291*Q291-R291)))</x:f>
      </x:c>
      <x:c r="W291" s="197" t="str">
        <x:f>IF(OR(V291="",S291="",S291=0),"",V291/S291)</x:f>
      </x:c>
      <x:c r="X291" s="198" t="str">
        <x:f>IF(V291="","",IF(V291&gt;0,"Win",IF(V291&lt;0,"Loss","BE")))</x:f>
      </x:c>
      <x:c r="Y291" s="194"/>
      <x:c r="Z291" s="194"/>
      <x:c r="AA291" s="194"/>
      <x:c r="AB291" s="194"/>
      <x:c r="AC291" s="194"/>
      <x:c r="AD291" s="196" t="str">
        <x:f>IF(A291="","",SUM($V$4:V291))</x:f>
      </x:c>
      <x:c r="AE291" s="196" t="str">
        <x:f>IF(AD291="","",MAX(0,$AD$4:AD291))</x:f>
      </x:c>
      <x:c r="AF291" s="199" t="str">
        <x:f>IF(AD291="","",AD291-AE291)</x:f>
      </x:c>
    </x:row>
    <x:row r="292">
      <x:c r="A292" s="192"/>
      <x:c r="B292" s="193"/>
      <x:c r="C292" s="193"/>
      <x:c r="D292" s="194"/>
      <x:c r="E292" s="194"/>
      <x:c r="F292" s="194"/>
      <x:c r="G292" s="194"/>
      <x:c r="H292" s="194"/>
      <x:c r="I292" s="194"/>
      <x:c r="J292" s="194"/>
      <x:c r="K292" s="194"/>
      <x:c r="L292" s="194"/>
      <x:c r="M292" s="195"/>
      <x:c r="N292" s="195"/>
      <x:c r="O292" s="195"/>
      <x:c r="P292" s="195"/>
      <x:c r="Q292" s="195"/>
      <x:c r="R292" s="195"/>
      <x:c r="S292" s="196" t="str">
        <x:f>IF(OR(M292="",N292="",Q292="",M292=0),"",ABS((M292-N292)/M292*Q292))</x:f>
      </x:c>
      <x:c r="T292" s="196" t="str">
        <x:f>IF(OR(M292="",N292="",O292="",M292=N292),"",ABS((O292-M292)/(M292-N292)))</x:f>
      </x:c>
      <x:c r="U292" s="195"/>
      <x:c r="V292" s="196" t="str">
        <x:f>IF(U292&lt;&gt;"",U292,IF(OR(P292="",M292="",Q292="",E292=""),"",IF(E292="做多",(P292-M292)/M292*Q292-R292,(M292-P292)/M292*Q292-R292)))</x:f>
      </x:c>
      <x:c r="W292" s="197" t="str">
        <x:f>IF(OR(V292="",S292="",S292=0),"",V292/S292)</x:f>
      </x:c>
      <x:c r="X292" s="198" t="str">
        <x:f>IF(V292="","",IF(V292&gt;0,"Win",IF(V292&lt;0,"Loss","BE")))</x:f>
      </x:c>
      <x:c r="Y292" s="194"/>
      <x:c r="Z292" s="194"/>
      <x:c r="AA292" s="194"/>
      <x:c r="AB292" s="194"/>
      <x:c r="AC292" s="194"/>
      <x:c r="AD292" s="196" t="str">
        <x:f>IF(A292="","",SUM($V$4:V292))</x:f>
      </x:c>
      <x:c r="AE292" s="196" t="str">
        <x:f>IF(AD292="","",MAX(0,$AD$4:AD292))</x:f>
      </x:c>
      <x:c r="AF292" s="199" t="str">
        <x:f>IF(AD292="","",AD292-AE292)</x:f>
      </x:c>
    </x:row>
    <x:row r="293">
      <x:c r="A293" s="192"/>
      <x:c r="B293" s="193"/>
      <x:c r="C293" s="193"/>
      <x:c r="D293" s="194"/>
      <x:c r="E293" s="194"/>
      <x:c r="F293" s="194"/>
      <x:c r="G293" s="194"/>
      <x:c r="H293" s="194"/>
      <x:c r="I293" s="194"/>
      <x:c r="J293" s="194"/>
      <x:c r="K293" s="194"/>
      <x:c r="L293" s="194"/>
      <x:c r="M293" s="195"/>
      <x:c r="N293" s="195"/>
      <x:c r="O293" s="195"/>
      <x:c r="P293" s="195"/>
      <x:c r="Q293" s="195"/>
      <x:c r="R293" s="195"/>
      <x:c r="S293" s="196" t="str">
        <x:f>IF(OR(M293="",N293="",Q293="",M293=0),"",ABS((M293-N293)/M293*Q293))</x:f>
      </x:c>
      <x:c r="T293" s="196" t="str">
        <x:f>IF(OR(M293="",N293="",O293="",M293=N293),"",ABS((O293-M293)/(M293-N293)))</x:f>
      </x:c>
      <x:c r="U293" s="195"/>
      <x:c r="V293" s="196" t="str">
        <x:f>IF(U293&lt;&gt;"",U293,IF(OR(P293="",M293="",Q293="",E293=""),"",IF(E293="做多",(P293-M293)/M293*Q293-R293,(M293-P293)/M293*Q293-R293)))</x:f>
      </x:c>
      <x:c r="W293" s="197" t="str">
        <x:f>IF(OR(V293="",S293="",S293=0),"",V293/S293)</x:f>
      </x:c>
      <x:c r="X293" s="198" t="str">
        <x:f>IF(V293="","",IF(V293&gt;0,"Win",IF(V293&lt;0,"Loss","BE")))</x:f>
      </x:c>
      <x:c r="Y293" s="194"/>
      <x:c r="Z293" s="194"/>
      <x:c r="AA293" s="194"/>
      <x:c r="AB293" s="194"/>
      <x:c r="AC293" s="194"/>
      <x:c r="AD293" s="196" t="str">
        <x:f>IF(A293="","",SUM($V$4:V293))</x:f>
      </x:c>
      <x:c r="AE293" s="196" t="str">
        <x:f>IF(AD293="","",MAX(0,$AD$4:AD293))</x:f>
      </x:c>
      <x:c r="AF293" s="199" t="str">
        <x:f>IF(AD293="","",AD293-AE293)</x:f>
      </x:c>
    </x:row>
    <x:row r="294">
      <x:c r="A294" s="192"/>
      <x:c r="B294" s="193"/>
      <x:c r="C294" s="193"/>
      <x:c r="D294" s="194"/>
      <x:c r="E294" s="194"/>
      <x:c r="F294" s="194"/>
      <x:c r="G294" s="194"/>
      <x:c r="H294" s="194"/>
      <x:c r="I294" s="194"/>
      <x:c r="J294" s="194"/>
      <x:c r="K294" s="194"/>
      <x:c r="L294" s="194"/>
      <x:c r="M294" s="195"/>
      <x:c r="N294" s="195"/>
      <x:c r="O294" s="195"/>
      <x:c r="P294" s="195"/>
      <x:c r="Q294" s="195"/>
      <x:c r="R294" s="195"/>
      <x:c r="S294" s="196" t="str">
        <x:f>IF(OR(M294="",N294="",Q294="",M294=0),"",ABS((M294-N294)/M294*Q294))</x:f>
      </x:c>
      <x:c r="T294" s="196" t="str">
        <x:f>IF(OR(M294="",N294="",O294="",M294=N294),"",ABS((O294-M294)/(M294-N294)))</x:f>
      </x:c>
      <x:c r="U294" s="195"/>
      <x:c r="V294" s="196" t="str">
        <x:f>IF(U294&lt;&gt;"",U294,IF(OR(P294="",M294="",Q294="",E294=""),"",IF(E294="做多",(P294-M294)/M294*Q294-R294,(M294-P294)/M294*Q294-R294)))</x:f>
      </x:c>
      <x:c r="W294" s="197" t="str">
        <x:f>IF(OR(V294="",S294="",S294=0),"",V294/S294)</x:f>
      </x:c>
      <x:c r="X294" s="198" t="str">
        <x:f>IF(V294="","",IF(V294&gt;0,"Win",IF(V294&lt;0,"Loss","BE")))</x:f>
      </x:c>
      <x:c r="Y294" s="194"/>
      <x:c r="Z294" s="194"/>
      <x:c r="AA294" s="194"/>
      <x:c r="AB294" s="194"/>
      <x:c r="AC294" s="194"/>
      <x:c r="AD294" s="196" t="str">
        <x:f>IF(A294="","",SUM($V$4:V294))</x:f>
      </x:c>
      <x:c r="AE294" s="196" t="str">
        <x:f>IF(AD294="","",MAX(0,$AD$4:AD294))</x:f>
      </x:c>
      <x:c r="AF294" s="199" t="str">
        <x:f>IF(AD294="","",AD294-AE294)</x:f>
      </x:c>
    </x:row>
    <x:row r="295">
      <x:c r="A295" s="192"/>
      <x:c r="B295" s="193"/>
      <x:c r="C295" s="193"/>
      <x:c r="D295" s="194"/>
      <x:c r="E295" s="194"/>
      <x:c r="F295" s="194"/>
      <x:c r="G295" s="194"/>
      <x:c r="H295" s="194"/>
      <x:c r="I295" s="194"/>
      <x:c r="J295" s="194"/>
      <x:c r="K295" s="194"/>
      <x:c r="L295" s="194"/>
      <x:c r="M295" s="195"/>
      <x:c r="N295" s="195"/>
      <x:c r="O295" s="195"/>
      <x:c r="P295" s="195"/>
      <x:c r="Q295" s="195"/>
      <x:c r="R295" s="195"/>
      <x:c r="S295" s="196" t="str">
        <x:f>IF(OR(M295="",N295="",Q295="",M295=0),"",ABS((M295-N295)/M295*Q295))</x:f>
      </x:c>
      <x:c r="T295" s="196" t="str">
        <x:f>IF(OR(M295="",N295="",O295="",M295=N295),"",ABS((O295-M295)/(M295-N295)))</x:f>
      </x:c>
      <x:c r="U295" s="195"/>
      <x:c r="V295" s="196" t="str">
        <x:f>IF(U295&lt;&gt;"",U295,IF(OR(P295="",M295="",Q295="",E295=""),"",IF(E295="做多",(P295-M295)/M295*Q295-R295,(M295-P295)/M295*Q295-R295)))</x:f>
      </x:c>
      <x:c r="W295" s="197" t="str">
        <x:f>IF(OR(V295="",S295="",S295=0),"",V295/S295)</x:f>
      </x:c>
      <x:c r="X295" s="198" t="str">
        <x:f>IF(V295="","",IF(V295&gt;0,"Win",IF(V295&lt;0,"Loss","BE")))</x:f>
      </x:c>
      <x:c r="Y295" s="194"/>
      <x:c r="Z295" s="194"/>
      <x:c r="AA295" s="194"/>
      <x:c r="AB295" s="194"/>
      <x:c r="AC295" s="194"/>
      <x:c r="AD295" s="196" t="str">
        <x:f>IF(A295="","",SUM($V$4:V295))</x:f>
      </x:c>
      <x:c r="AE295" s="196" t="str">
        <x:f>IF(AD295="","",MAX(0,$AD$4:AD295))</x:f>
      </x:c>
      <x:c r="AF295" s="199" t="str">
        <x:f>IF(AD295="","",AD295-AE295)</x:f>
      </x:c>
    </x:row>
    <x:row r="296">
      <x:c r="A296" s="192"/>
      <x:c r="B296" s="193"/>
      <x:c r="C296" s="193"/>
      <x:c r="D296" s="194"/>
      <x:c r="E296" s="194"/>
      <x:c r="F296" s="194"/>
      <x:c r="G296" s="194"/>
      <x:c r="H296" s="194"/>
      <x:c r="I296" s="194"/>
      <x:c r="J296" s="194"/>
      <x:c r="K296" s="194"/>
      <x:c r="L296" s="194"/>
      <x:c r="M296" s="195"/>
      <x:c r="N296" s="195"/>
      <x:c r="O296" s="195"/>
      <x:c r="P296" s="195"/>
      <x:c r="Q296" s="195"/>
      <x:c r="R296" s="195"/>
      <x:c r="S296" s="196" t="str">
        <x:f>IF(OR(M296="",N296="",Q296="",M296=0),"",ABS((M296-N296)/M296*Q296))</x:f>
      </x:c>
      <x:c r="T296" s="196" t="str">
        <x:f>IF(OR(M296="",N296="",O296="",M296=N296),"",ABS((O296-M296)/(M296-N296)))</x:f>
      </x:c>
      <x:c r="U296" s="195"/>
      <x:c r="V296" s="196" t="str">
        <x:f>IF(U296&lt;&gt;"",U296,IF(OR(P296="",M296="",Q296="",E296=""),"",IF(E296="做多",(P296-M296)/M296*Q296-R296,(M296-P296)/M296*Q296-R296)))</x:f>
      </x:c>
      <x:c r="W296" s="197" t="str">
        <x:f>IF(OR(V296="",S296="",S296=0),"",V296/S296)</x:f>
      </x:c>
      <x:c r="X296" s="198" t="str">
        <x:f>IF(V296="","",IF(V296&gt;0,"Win",IF(V296&lt;0,"Loss","BE")))</x:f>
      </x:c>
      <x:c r="Y296" s="194"/>
      <x:c r="Z296" s="194"/>
      <x:c r="AA296" s="194"/>
      <x:c r="AB296" s="194"/>
      <x:c r="AC296" s="194"/>
      <x:c r="AD296" s="196" t="str">
        <x:f>IF(A296="","",SUM($V$4:V296))</x:f>
      </x:c>
      <x:c r="AE296" s="196" t="str">
        <x:f>IF(AD296="","",MAX(0,$AD$4:AD296))</x:f>
      </x:c>
      <x:c r="AF296" s="199" t="str">
        <x:f>IF(AD296="","",AD296-AE296)</x:f>
      </x:c>
    </x:row>
    <x:row r="297">
      <x:c r="A297" s="192"/>
      <x:c r="B297" s="193"/>
      <x:c r="C297" s="193"/>
      <x:c r="D297" s="194"/>
      <x:c r="E297" s="194"/>
      <x:c r="F297" s="194"/>
      <x:c r="G297" s="194"/>
      <x:c r="H297" s="194"/>
      <x:c r="I297" s="194"/>
      <x:c r="J297" s="194"/>
      <x:c r="K297" s="194"/>
      <x:c r="L297" s="194"/>
      <x:c r="M297" s="195"/>
      <x:c r="N297" s="195"/>
      <x:c r="O297" s="195"/>
      <x:c r="P297" s="195"/>
      <x:c r="Q297" s="195"/>
      <x:c r="R297" s="195"/>
      <x:c r="S297" s="196" t="str">
        <x:f>IF(OR(M297="",N297="",Q297="",M297=0),"",ABS((M297-N297)/M297*Q297))</x:f>
      </x:c>
      <x:c r="T297" s="196" t="str">
        <x:f>IF(OR(M297="",N297="",O297="",M297=N297),"",ABS((O297-M297)/(M297-N297)))</x:f>
      </x:c>
      <x:c r="U297" s="195"/>
      <x:c r="V297" s="196" t="str">
        <x:f>IF(U297&lt;&gt;"",U297,IF(OR(P297="",M297="",Q297="",E297=""),"",IF(E297="做多",(P297-M297)/M297*Q297-R297,(M297-P297)/M297*Q297-R297)))</x:f>
      </x:c>
      <x:c r="W297" s="197" t="str">
        <x:f>IF(OR(V297="",S297="",S297=0),"",V297/S297)</x:f>
      </x:c>
      <x:c r="X297" s="198" t="str">
        <x:f>IF(V297="","",IF(V297&gt;0,"Win",IF(V297&lt;0,"Loss","BE")))</x:f>
      </x:c>
      <x:c r="Y297" s="194"/>
      <x:c r="Z297" s="194"/>
      <x:c r="AA297" s="194"/>
      <x:c r="AB297" s="194"/>
      <x:c r="AC297" s="194"/>
      <x:c r="AD297" s="196" t="str">
        <x:f>IF(A297="","",SUM($V$4:V297))</x:f>
      </x:c>
      <x:c r="AE297" s="196" t="str">
        <x:f>IF(AD297="","",MAX(0,$AD$4:AD297))</x:f>
      </x:c>
      <x:c r="AF297" s="199" t="str">
        <x:f>IF(AD297="","",AD297-AE297)</x:f>
      </x:c>
    </x:row>
    <x:row r="298">
      <x:c r="A298" s="192"/>
      <x:c r="B298" s="193"/>
      <x:c r="C298" s="193"/>
      <x:c r="D298" s="194"/>
      <x:c r="E298" s="194"/>
      <x:c r="F298" s="194"/>
      <x:c r="G298" s="194"/>
      <x:c r="H298" s="194"/>
      <x:c r="I298" s="194"/>
      <x:c r="J298" s="194"/>
      <x:c r="K298" s="194"/>
      <x:c r="L298" s="194"/>
      <x:c r="M298" s="195"/>
      <x:c r="N298" s="195"/>
      <x:c r="O298" s="195"/>
      <x:c r="P298" s="195"/>
      <x:c r="Q298" s="195"/>
      <x:c r="R298" s="195"/>
      <x:c r="S298" s="196" t="str">
        <x:f>IF(OR(M298="",N298="",Q298="",M298=0),"",ABS((M298-N298)/M298*Q298))</x:f>
      </x:c>
      <x:c r="T298" s="196" t="str">
        <x:f>IF(OR(M298="",N298="",O298="",M298=N298),"",ABS((O298-M298)/(M298-N298)))</x:f>
      </x:c>
      <x:c r="U298" s="195"/>
      <x:c r="V298" s="196" t="str">
        <x:f>IF(U298&lt;&gt;"",U298,IF(OR(P298="",M298="",Q298="",E298=""),"",IF(E298="做多",(P298-M298)/M298*Q298-R298,(M298-P298)/M298*Q298-R298)))</x:f>
      </x:c>
      <x:c r="W298" s="197" t="str">
        <x:f>IF(OR(V298="",S298="",S298=0),"",V298/S298)</x:f>
      </x:c>
      <x:c r="X298" s="198" t="str">
        <x:f>IF(V298="","",IF(V298&gt;0,"Win",IF(V298&lt;0,"Loss","BE")))</x:f>
      </x:c>
      <x:c r="Y298" s="194"/>
      <x:c r="Z298" s="194"/>
      <x:c r="AA298" s="194"/>
      <x:c r="AB298" s="194"/>
      <x:c r="AC298" s="194"/>
      <x:c r="AD298" s="196" t="str">
        <x:f>IF(A298="","",SUM($V$4:V298))</x:f>
      </x:c>
      <x:c r="AE298" s="196" t="str">
        <x:f>IF(AD298="","",MAX(0,$AD$4:AD298))</x:f>
      </x:c>
      <x:c r="AF298" s="199" t="str">
        <x:f>IF(AD298="","",AD298-AE298)</x:f>
      </x:c>
    </x:row>
    <x:row r="299">
      <x:c r="A299" s="192"/>
      <x:c r="B299" s="193"/>
      <x:c r="C299" s="193"/>
      <x:c r="D299" s="194"/>
      <x:c r="E299" s="194"/>
      <x:c r="F299" s="194"/>
      <x:c r="G299" s="194"/>
      <x:c r="H299" s="194"/>
      <x:c r="I299" s="194"/>
      <x:c r="J299" s="194"/>
      <x:c r="K299" s="194"/>
      <x:c r="L299" s="194"/>
      <x:c r="M299" s="195"/>
      <x:c r="N299" s="195"/>
      <x:c r="O299" s="195"/>
      <x:c r="P299" s="195"/>
      <x:c r="Q299" s="195"/>
      <x:c r="R299" s="195"/>
      <x:c r="S299" s="196" t="str">
        <x:f>IF(OR(M299="",N299="",Q299="",M299=0),"",ABS((M299-N299)/M299*Q299))</x:f>
      </x:c>
      <x:c r="T299" s="196" t="str">
        <x:f>IF(OR(M299="",N299="",O299="",M299=N299),"",ABS((O299-M299)/(M299-N299)))</x:f>
      </x:c>
      <x:c r="U299" s="195"/>
      <x:c r="V299" s="196" t="str">
        <x:f>IF(U299&lt;&gt;"",U299,IF(OR(P299="",M299="",Q299="",E299=""),"",IF(E299="做多",(P299-M299)/M299*Q299-R299,(M299-P299)/M299*Q299-R299)))</x:f>
      </x:c>
      <x:c r="W299" s="197" t="str">
        <x:f>IF(OR(V299="",S299="",S299=0),"",V299/S299)</x:f>
      </x:c>
      <x:c r="X299" s="198" t="str">
        <x:f>IF(V299="","",IF(V299&gt;0,"Win",IF(V299&lt;0,"Loss","BE")))</x:f>
      </x:c>
      <x:c r="Y299" s="194"/>
      <x:c r="Z299" s="194"/>
      <x:c r="AA299" s="194"/>
      <x:c r="AB299" s="194"/>
      <x:c r="AC299" s="194"/>
      <x:c r="AD299" s="196" t="str">
        <x:f>IF(A299="","",SUM($V$4:V299))</x:f>
      </x:c>
      <x:c r="AE299" s="196" t="str">
        <x:f>IF(AD299="","",MAX(0,$AD$4:AD299))</x:f>
      </x:c>
      <x:c r="AF299" s="199" t="str">
        <x:f>IF(AD299="","",AD299-AE299)</x:f>
      </x:c>
    </x:row>
    <x:row r="300">
      <x:c r="A300" s="192"/>
      <x:c r="B300" s="193"/>
      <x:c r="C300" s="193"/>
      <x:c r="D300" s="194"/>
      <x:c r="E300" s="194"/>
      <x:c r="F300" s="194"/>
      <x:c r="G300" s="194"/>
      <x:c r="H300" s="194"/>
      <x:c r="I300" s="194"/>
      <x:c r="J300" s="194"/>
      <x:c r="K300" s="194"/>
      <x:c r="L300" s="194"/>
      <x:c r="M300" s="195"/>
      <x:c r="N300" s="195"/>
      <x:c r="O300" s="195"/>
      <x:c r="P300" s="195"/>
      <x:c r="Q300" s="195"/>
      <x:c r="R300" s="195"/>
      <x:c r="S300" s="196" t="str">
        <x:f>IF(OR(M300="",N300="",Q300="",M300=0),"",ABS((M300-N300)/M300*Q300))</x:f>
      </x:c>
      <x:c r="T300" s="196" t="str">
        <x:f>IF(OR(M300="",N300="",O300="",M300=N300),"",ABS((O300-M300)/(M300-N300)))</x:f>
      </x:c>
      <x:c r="U300" s="195"/>
      <x:c r="V300" s="196" t="str">
        <x:f>IF(U300&lt;&gt;"",U300,IF(OR(P300="",M300="",Q300="",E300=""),"",IF(E300="做多",(P300-M300)/M300*Q300-R300,(M300-P300)/M300*Q300-R300)))</x:f>
      </x:c>
      <x:c r="W300" s="197" t="str">
        <x:f>IF(OR(V300="",S300="",S300=0),"",V300/S300)</x:f>
      </x:c>
      <x:c r="X300" s="198" t="str">
        <x:f>IF(V300="","",IF(V300&gt;0,"Win",IF(V300&lt;0,"Loss","BE")))</x:f>
      </x:c>
      <x:c r="Y300" s="194"/>
      <x:c r="Z300" s="194"/>
      <x:c r="AA300" s="194"/>
      <x:c r="AB300" s="194"/>
      <x:c r="AC300" s="194"/>
      <x:c r="AD300" s="196" t="str">
        <x:f>IF(A300="","",SUM($V$4:V300))</x:f>
      </x:c>
      <x:c r="AE300" s="196" t="str">
        <x:f>IF(AD300="","",MAX(0,$AD$4:AD300))</x:f>
      </x:c>
      <x:c r="AF300" s="199" t="str">
        <x:f>IF(AD300="","",AD300-AE300)</x:f>
      </x:c>
    </x:row>
    <x:row r="301">
      <x:c r="A301" s="192"/>
      <x:c r="B301" s="193"/>
      <x:c r="C301" s="193"/>
      <x:c r="D301" s="194"/>
      <x:c r="E301" s="194"/>
      <x:c r="F301" s="194"/>
      <x:c r="G301" s="194"/>
      <x:c r="H301" s="194"/>
      <x:c r="I301" s="194"/>
      <x:c r="J301" s="194"/>
      <x:c r="K301" s="194"/>
      <x:c r="L301" s="194"/>
      <x:c r="M301" s="195"/>
      <x:c r="N301" s="195"/>
      <x:c r="O301" s="195"/>
      <x:c r="P301" s="195"/>
      <x:c r="Q301" s="195"/>
      <x:c r="R301" s="195"/>
      <x:c r="S301" s="196" t="str">
        <x:f>IF(OR(M301="",N301="",Q301="",M301=0),"",ABS((M301-N301)/M301*Q301))</x:f>
      </x:c>
      <x:c r="T301" s="196" t="str">
        <x:f>IF(OR(M301="",N301="",O301="",M301=N301),"",ABS((O301-M301)/(M301-N301)))</x:f>
      </x:c>
      <x:c r="U301" s="195"/>
      <x:c r="V301" s="196" t="str">
        <x:f>IF(U301&lt;&gt;"",U301,IF(OR(P301="",M301="",Q301="",E301=""),"",IF(E301="做多",(P301-M301)/M301*Q301-R301,(M301-P301)/M301*Q301-R301)))</x:f>
      </x:c>
      <x:c r="W301" s="197" t="str">
        <x:f>IF(OR(V301="",S301="",S301=0),"",V301/S301)</x:f>
      </x:c>
      <x:c r="X301" s="198" t="str">
        <x:f>IF(V301="","",IF(V301&gt;0,"Win",IF(V301&lt;0,"Loss","BE")))</x:f>
      </x:c>
      <x:c r="Y301" s="194"/>
      <x:c r="Z301" s="194"/>
      <x:c r="AA301" s="194"/>
      <x:c r="AB301" s="194"/>
      <x:c r="AC301" s="194"/>
      <x:c r="AD301" s="196" t="str">
        <x:f>IF(A301="","",SUM($V$4:V301))</x:f>
      </x:c>
      <x:c r="AE301" s="196" t="str">
        <x:f>IF(AD301="","",MAX(0,$AD$4:AD301))</x:f>
      </x:c>
      <x:c r="AF301" s="199" t="str">
        <x:f>IF(AD301="","",AD301-AE301)</x:f>
      </x:c>
    </x:row>
    <x:row r="302">
      <x:c r="A302" s="192"/>
      <x:c r="B302" s="193"/>
      <x:c r="C302" s="193"/>
      <x:c r="D302" s="194"/>
      <x:c r="E302" s="194"/>
      <x:c r="F302" s="194"/>
      <x:c r="G302" s="194"/>
      <x:c r="H302" s="194"/>
      <x:c r="I302" s="194"/>
      <x:c r="J302" s="194"/>
      <x:c r="K302" s="194"/>
      <x:c r="L302" s="194"/>
      <x:c r="M302" s="195"/>
      <x:c r="N302" s="195"/>
      <x:c r="O302" s="195"/>
      <x:c r="P302" s="195"/>
      <x:c r="Q302" s="195"/>
      <x:c r="R302" s="195"/>
      <x:c r="S302" s="196" t="str">
        <x:f>IF(OR(M302="",N302="",Q302="",M302=0),"",ABS((M302-N302)/M302*Q302))</x:f>
      </x:c>
      <x:c r="T302" s="196" t="str">
        <x:f>IF(OR(M302="",N302="",O302="",M302=N302),"",ABS((O302-M302)/(M302-N302)))</x:f>
      </x:c>
      <x:c r="U302" s="195"/>
      <x:c r="V302" s="196" t="str">
        <x:f>IF(U302&lt;&gt;"",U302,IF(OR(P302="",M302="",Q302="",E302=""),"",IF(E302="做多",(P302-M302)/M302*Q302-R302,(M302-P302)/M302*Q302-R302)))</x:f>
      </x:c>
      <x:c r="W302" s="197" t="str">
        <x:f>IF(OR(V302="",S302="",S302=0),"",V302/S302)</x:f>
      </x:c>
      <x:c r="X302" s="198" t="str">
        <x:f>IF(V302="","",IF(V302&gt;0,"Win",IF(V302&lt;0,"Loss","BE")))</x:f>
      </x:c>
      <x:c r="Y302" s="194"/>
      <x:c r="Z302" s="194"/>
      <x:c r="AA302" s="194"/>
      <x:c r="AB302" s="194"/>
      <x:c r="AC302" s="194"/>
      <x:c r="AD302" s="196" t="str">
        <x:f>IF(A302="","",SUM($V$4:V302))</x:f>
      </x:c>
      <x:c r="AE302" s="196" t="str">
        <x:f>IF(AD302="","",MAX(0,$AD$4:AD302))</x:f>
      </x:c>
      <x:c r="AF302" s="199" t="str">
        <x:f>IF(AD302="","",AD302-AE302)</x:f>
      </x:c>
    </x:row>
    <x:row r="303">
      <x:c r="A303" s="200"/>
      <x:c r="B303" s="201"/>
      <x:c r="C303" s="201"/>
      <x:c r="D303" s="202"/>
      <x:c r="E303" s="202"/>
      <x:c r="F303" s="202"/>
      <x:c r="G303" s="202"/>
      <x:c r="H303" s="202"/>
      <x:c r="I303" s="202"/>
      <x:c r="J303" s="202"/>
      <x:c r="K303" s="202"/>
      <x:c r="L303" s="202"/>
      <x:c r="M303" s="203"/>
      <x:c r="N303" s="203"/>
      <x:c r="O303" s="203"/>
      <x:c r="P303" s="203"/>
      <x:c r="Q303" s="203"/>
      <x:c r="R303" s="203"/>
      <x:c r="S303" s="204" t="str">
        <x:f>IF(OR(M303="",N303="",Q303="",M303=0),"",ABS((M303-N303)/M303*Q303))</x:f>
      </x:c>
      <x:c r="T303" s="204" t="str">
        <x:f>IF(OR(M303="",N303="",O303="",M303=N303),"",ABS((O303-M303)/(M303-N303)))</x:f>
      </x:c>
      <x:c r="U303" s="203"/>
      <x:c r="V303" s="204" t="str">
        <x:f>IF(U303&lt;&gt;"",U303,IF(OR(P303="",M303="",Q303="",E303=""),"",IF(E303="做多",(P303-M303)/M303*Q303-R303,(M303-P303)/M303*Q303-R303)))</x:f>
      </x:c>
      <x:c r="W303" s="205" t="str">
        <x:f>IF(OR(V303="",S303="",S303=0),"",V303/S303)</x:f>
      </x:c>
      <x:c r="X303" s="206" t="str">
        <x:f>IF(V303="","",IF(V303&gt;0,"Win",IF(V303&lt;0,"Loss","BE")))</x:f>
      </x:c>
      <x:c r="Y303" s="202"/>
      <x:c r="Z303" s="202"/>
      <x:c r="AA303" s="202"/>
      <x:c r="AB303" s="202"/>
      <x:c r="AC303" s="202"/>
      <x:c r="AD303" s="204" t="str">
        <x:f>IF(A303="","",SUM($V$4:V303))</x:f>
      </x:c>
      <x:c r="AE303" s="204" t="str">
        <x:f>IF(AD303="","",MAX(0,$AD$4:AD303))</x:f>
      </x:c>
      <x:c r="AF303" s="207" t="str">
        <x:f>IF(AD303="","",AD303-AE303)</x:f>
      </x:c>
    </x:row>
  </x:sheetData>
  <x:mergeCells>
    <x:mergeCell ref="A1:AF1"/>
    <x:mergeCell ref="A2:AF2"/>
  </x:mergeCells>
  <x:conditionalFormatting sqref="X4:X303">
    <x:cfRule type="containsText" dxfId="0" priority="1" operator="containsText" text="Win"/>
    <x:cfRule type="containsText" dxfId="1" priority="2" operator="containsText" text="Loss"/>
  </x:conditionalFormatting>
  <x:conditionalFormatting sqref="Y4:Y303">
    <x:cfRule type="containsText" dxfId="2" priority="3" operator="containsText" text="否"/>
  </x:conditionalFormatting>
  <x:dataValidations count="11">
    <x:dataValidation type="list" sqref="D4:D303">
      <x:formula1>"BTCUSDT,ETHUSDT"</x:formula1>
    </x:dataValidation>
    <x:dataValidation type="list" sqref="E4:E303">
      <x:formula1>"做多,做空"</x:formula1>
    </x:dataValidation>
    <x:dataValidation type="list" sqref="F4:F303">
      <x:formula1>"待计划,持仓中,已平仓,取消,待补充"</x:formula1>
    </x:dataValidation>
    <x:dataValidation type="list" sqref="G4:G303">
      <x:formula1>"日内,波段,趋势,对冲,其他"</x:formula1>
    </x:dataValidation>
    <x:dataValidation type="list" sqref="H4:H303">
      <x:formula1>"趋势,区间,混乱,未分类"</x:formula1>
    </x:dataValidation>
    <x:dataValidation type="list" sqref="I4:I303">
      <x:formula1>"多头,空头,中性"</x:formula1>
    </x:dataValidation>
    <x:dataValidation type="list" sqref="J4:J303">
      <x:formula1>"亚洲,伦敦,纽约,周末,事件窗口,其他"</x:formula1>
    </x:dataValidation>
    <x:dataValidation type="list" sqref="K4:K303">
      <x:formula1>"Sweep+MSS+FVG,BOS回踩,反转OB,突破延续,其他,未分类"</x:formula1>
    </x:dataValidation>
    <x:dataValidation type="list" sqref="L4:L303">
      <x:formula1>"SSL,BSL,双侧,无,未分类"</x:formula1>
    </x:dataValidation>
    <x:dataValidation type="list" sqref="Y4:Y303">
      <x:formula1>"是,否,待复盘"</x:formula1>
    </x:dataValidation>
    <x:dataValidation type="list" sqref="Z4:Z303">
      <x:formula1>"无,无计划入场,追价,逆高周期,区间中部,未扫流动性,无位移,无MSS,止损纪律,浮亏加仓,对冲代替止损,情绪提前平仓,过度交易,事件前冒险,其他"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36d2814e3c4c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0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0" hidden="0" customWidth="1"/>
    <x:col min="11" max="11" width="16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0" hidden="0" customWidth="1"/>
    <x:col min="17" max="17" width="12" hidden="0" customWidth="1"/>
    <x:col min="18" max="18" width="12" hidden="0" customWidth="1"/>
    <x:col min="19" max="19" width="24" hidden="0" customWidth="1"/>
    <x:col min="20" max="20" width="32" hidden="0" customWidth="1"/>
  </x:cols>
  <x:sheetData>
    <x:row r="1" ht="34" customHeight="1">
      <x:c r="A1" s="4" t="str">
        <x:v>Sweep + MSS + FVG 模型回测记录</x:v>
      </x:c>
      <x:c r="B1" s="4" t="str">
        <x:v>Sweep + MSS + FVG 模型回测记录</x:v>
      </x:c>
      <x:c r="C1" s="4" t="str">
        <x:v>Sweep + MSS + FVG 模型回测记录</x:v>
      </x:c>
      <x:c r="D1" s="4" t="str">
        <x:v>Sweep + MSS + FVG 模型回测记录</x:v>
      </x:c>
      <x:c r="E1" s="4" t="str">
        <x:v>Sweep + MSS + FVG 模型回测记录</x:v>
      </x:c>
      <x:c r="F1" s="4" t="str">
        <x:v>Sweep + MSS + FVG 模型回测记录</x:v>
      </x:c>
      <x:c r="G1" s="4" t="str">
        <x:v>Sweep + MSS + FVG 模型回测记录</x:v>
      </x:c>
      <x:c r="H1" s="4" t="str">
        <x:v>Sweep + MSS + FVG 模型回测记录</x:v>
      </x:c>
      <x:c r="I1" s="4" t="str">
        <x:v>Sweep + MSS + FVG 模型回测记录</x:v>
      </x:c>
      <x:c r="J1" s="4" t="str">
        <x:v>Sweep + MSS + FVG 模型回测记录</x:v>
      </x:c>
      <x:c r="K1" s="4" t="str">
        <x:v>Sweep + MSS + FVG 模型回测记录</x:v>
      </x:c>
      <x:c r="L1" s="4" t="str">
        <x:v>Sweep + MSS + FVG 模型回测记录</x:v>
      </x:c>
      <x:c r="M1" s="4" t="str">
        <x:v>Sweep + MSS + FVG 模型回测记录</x:v>
      </x:c>
      <x:c r="N1" s="4" t="str">
        <x:v>Sweep + MSS + FVG 模型回测记录</x:v>
      </x:c>
      <x:c r="O1" s="4" t="str">
        <x:v>Sweep + MSS + FVG 模型回测记录</x:v>
      </x:c>
      <x:c r="P1" s="4" t="str">
        <x:v>Sweep + MSS + FVG 模型回测记录</x:v>
      </x:c>
      <x:c r="Q1" s="4" t="str">
        <x:v>Sweep + MSS + FVG 模型回测记录</x:v>
      </x:c>
      <x:c r="R1" s="4" t="str">
        <x:v>Sweep + MSS + FVG 模型回测记录</x:v>
      </x:c>
      <x:c r="S1" s="4" t="str">
        <x:v>Sweep + MSS + FVG 模型回测记录</x:v>
      </x:c>
      <x:c r="T1" s="4" t="str">
        <x:v>Sweep + MSS + FVG 模型回测记录</x:v>
      </x:c>
    </x:row>
    <x:row r="2">
      <x:c r="A2" s="6" t="str">
        <x:v>只记录符合当前冻结定义的样本。不要为了提高胜率删掉失败交易。</x:v>
      </x:c>
      <x:c r="B2" s="6" t="str">
        <x:v>只记录符合当前冻结定义的样本。不要为了提高胜率删掉失败交易。</x:v>
      </x:c>
      <x:c r="C2" s="6" t="str">
        <x:v>只记录符合当前冻结定义的样本。不要为了提高胜率删掉失败交易。</x:v>
      </x:c>
      <x:c r="D2" s="6" t="str">
        <x:v>只记录符合当前冻结定义的样本。不要为了提高胜率删掉失败交易。</x:v>
      </x:c>
      <x:c r="E2" s="6" t="str">
        <x:v>只记录符合当前冻结定义的样本。不要为了提高胜率删掉失败交易。</x:v>
      </x:c>
      <x:c r="F2" s="6" t="str">
        <x:v>只记录符合当前冻结定义的样本。不要为了提高胜率删掉失败交易。</x:v>
      </x:c>
      <x:c r="G2" s="6" t="str">
        <x:v>只记录符合当前冻结定义的样本。不要为了提高胜率删掉失败交易。</x:v>
      </x:c>
      <x:c r="H2" s="6" t="str">
        <x:v>只记录符合当前冻结定义的样本。不要为了提高胜率删掉失败交易。</x:v>
      </x:c>
      <x:c r="I2" s="6" t="str">
        <x:v>只记录符合当前冻结定义的样本。不要为了提高胜率删掉失败交易。</x:v>
      </x:c>
      <x:c r="J2" s="6" t="str">
        <x:v>只记录符合当前冻结定义的样本。不要为了提高胜率删掉失败交易。</x:v>
      </x:c>
      <x:c r="K2" s="6" t="str">
        <x:v>只记录符合当前冻结定义的样本。不要为了提高胜率删掉失败交易。</x:v>
      </x:c>
      <x:c r="L2" s="6" t="str">
        <x:v>只记录符合当前冻结定义的样本。不要为了提高胜率删掉失败交易。</x:v>
      </x:c>
      <x:c r="M2" s="6" t="str">
        <x:v>只记录符合当前冻结定义的样本。不要为了提高胜率删掉失败交易。</x:v>
      </x:c>
      <x:c r="N2" s="6" t="str">
        <x:v>只记录符合当前冻结定义的样本。不要为了提高胜率删掉失败交易。</x:v>
      </x:c>
      <x:c r="O2" s="6" t="str">
        <x:v>只记录符合当前冻结定义的样本。不要为了提高胜率删掉失败交易。</x:v>
      </x:c>
      <x:c r="P2" s="6" t="str">
        <x:v>只记录符合当前冻结定义的样本。不要为了提高胜率删掉失败交易。</x:v>
      </x:c>
      <x:c r="Q2" s="6" t="str">
        <x:v>只记录符合当前冻结定义的样本。不要为了提高胜率删掉失败交易。</x:v>
      </x:c>
      <x:c r="R2" s="6" t="str">
        <x:v>只记录符合当前冻结定义的样本。不要为了提高胜率删掉失败交易。</x:v>
      </x:c>
      <x:c r="S2" s="6" t="str">
        <x:v>只记录符合当前冻结定义的样本。不要为了提高胜率删掉失败交易。</x:v>
      </x:c>
      <x:c r="T2" s="6" t="str">
        <x:v>只记录符合当前冻结定义的样本。不要为了提高胜率删掉失败交易。</x:v>
      </x:c>
    </x:row>
    <x:row r="3">
      <x:c r="A3" s="14" t="str">
        <x:v>样本编号</x:v>
      </x:c>
      <x:c r="B3" s="14" t="str">
        <x:v>日期</x:v>
      </x:c>
      <x:c r="C3" s="14" t="str">
        <x:v>产品</x:v>
      </x:c>
      <x:c r="D3" s="14" t="str">
        <x:v>方向</x:v>
      </x:c>
      <x:c r="E3" s="14" t="str">
        <x:v>高周期偏向</x:v>
      </x:c>
      <x:c r="F3" s="14" t="str">
        <x:v>市场环境</x:v>
      </x:c>
      <x:c r="G3" s="14" t="str">
        <x:v>时段</x:v>
      </x:c>
      <x:c r="H3" s="14" t="str">
        <x:v>扫流动性</x:v>
      </x:c>
      <x:c r="I3" s="14" t="str">
        <x:v>Displacement</x:v>
      </x:c>
      <x:c r="J3" s="14" t="str">
        <x:v>MSS</x:v>
      </x:c>
      <x:c r="K3" s="14" t="str">
        <x:v>首次FVG回踩</x:v>
      </x:c>
      <x:c r="L3" s="14" t="str">
        <x:v>开仓价</x:v>
      </x:c>
      <x:c r="M3" s="14" t="str">
        <x:v>止损价</x:v>
      </x:c>
      <x:c r="N3" s="14" t="str">
        <x:v>目标价</x:v>
      </x:c>
      <x:c r="O3" s="14" t="str">
        <x:v>平仓价</x:v>
      </x:c>
      <x:c r="P3" s="14" t="str">
        <x:v>结果</x:v>
      </x:c>
      <x:c r="Q3" s="14" t="str">
        <x:v>R倍数</x:v>
      </x:c>
      <x:c r="R3" s="14" t="str">
        <x:v>模型合格</x:v>
      </x:c>
      <x:c r="S3" s="14" t="str">
        <x:v>截图链接</x:v>
      </x:c>
      <x:c r="T3" s="14" t="str">
        <x:v>备注</x:v>
      </x:c>
    </x:row>
    <x:row r="4">
      <x:c r="A4" s="213"/>
      <x:c r="B4" s="222"/>
      <x:c r="C4" s="97"/>
      <x:c r="D4" s="97"/>
      <x:c r="E4" s="97"/>
      <x:c r="F4" s="97"/>
      <x:c r="G4" s="97"/>
      <x:c r="H4" s="97"/>
      <x:c r="I4" s="97"/>
      <x:c r="J4" s="97"/>
      <x:c r="K4" s="97"/>
      <x:c r="L4" s="100"/>
      <x:c r="M4" s="100"/>
      <x:c r="N4" s="100"/>
      <x:c r="O4" s="100"/>
      <x:c r="P4" s="219" t="str">
        <x:f>IF(OR(O4="",L4="",D4=""),"",IF(D4="做多",IF(O4&gt;L4,"Win",IF(O4&lt;L4,"Loss","BE")),IF(O4&lt;L4,"Win",IF(O4&gt;L4,"Loss","BE"))))</x:f>
      </x:c>
      <x:c r="Q4" s="227" t="str">
        <x:f>IF(OR(O4="",L4="",M4="",L4=M4,D4=""),"",IF(D4="做多",(O4-L4)/ABS(L4-M4),(L4-O4)/ABS(L4-M4)))</x:f>
      </x:c>
      <x:c r="R4" s="97"/>
      <x:c r="S4" s="97"/>
      <x:c r="T4" s="216"/>
    </x:row>
    <x:row r="5">
      <x:c r="A5" s="214"/>
      <x:c r="B5" s="223"/>
      <x:c r="C5" s="98"/>
      <x:c r="D5" s="98"/>
      <x:c r="E5" s="98"/>
      <x:c r="F5" s="98"/>
      <x:c r="G5" s="98"/>
      <x:c r="H5" s="98"/>
      <x:c r="I5" s="98"/>
      <x:c r="J5" s="98"/>
      <x:c r="K5" s="98"/>
      <x:c r="L5" s="225"/>
      <x:c r="M5" s="225"/>
      <x:c r="N5" s="225"/>
      <x:c r="O5" s="225"/>
      <x:c r="P5" s="220" t="str">
        <x:f>IF(OR(O5="",L5="",D5=""),"",IF(D5="做多",IF(O5&gt;L5,"Win",IF(O5&lt;L5,"Loss","BE")),IF(O5&lt;L5,"Win",IF(O5&gt;L5,"Loss","BE"))))</x:f>
      </x:c>
      <x:c r="Q5" s="228" t="str">
        <x:f>IF(OR(O5="",L5="",M5="",L5=M5,D5=""),"",IF(D5="做多",(O5-L5)/ABS(L5-M5),(L5-O5)/ABS(L5-M5)))</x:f>
      </x:c>
      <x:c r="R5" s="98"/>
      <x:c r="S5" s="98"/>
      <x:c r="T5" s="217"/>
    </x:row>
    <x:row r="6">
      <x:c r="A6" s="214"/>
      <x:c r="B6" s="223"/>
      <x:c r="C6" s="98"/>
      <x:c r="D6" s="98"/>
      <x:c r="E6" s="98"/>
      <x:c r="F6" s="98"/>
      <x:c r="G6" s="98"/>
      <x:c r="H6" s="98"/>
      <x:c r="I6" s="98"/>
      <x:c r="J6" s="98"/>
      <x:c r="K6" s="98"/>
      <x:c r="L6" s="225"/>
      <x:c r="M6" s="225"/>
      <x:c r="N6" s="225"/>
      <x:c r="O6" s="225"/>
      <x:c r="P6" s="220" t="str">
        <x:f>IF(OR(O6="",L6="",D6=""),"",IF(D6="做多",IF(O6&gt;L6,"Win",IF(O6&lt;L6,"Loss","BE")),IF(O6&lt;L6,"Win",IF(O6&gt;L6,"Loss","BE"))))</x:f>
      </x:c>
      <x:c r="Q6" s="228" t="str">
        <x:f>IF(OR(O6="",L6="",M6="",L6=M6,D6=""),"",IF(D6="做多",(O6-L6)/ABS(L6-M6),(L6-O6)/ABS(L6-M6)))</x:f>
      </x:c>
      <x:c r="R6" s="98"/>
      <x:c r="S6" s="98"/>
      <x:c r="T6" s="217"/>
    </x:row>
    <x:row r="7">
      <x:c r="A7" s="214"/>
      <x:c r="B7" s="223"/>
      <x:c r="C7" s="98"/>
      <x:c r="D7" s="98"/>
      <x:c r="E7" s="98"/>
      <x:c r="F7" s="98"/>
      <x:c r="G7" s="98"/>
      <x:c r="H7" s="98"/>
      <x:c r="I7" s="98"/>
      <x:c r="J7" s="98"/>
      <x:c r="K7" s="98"/>
      <x:c r="L7" s="225"/>
      <x:c r="M7" s="225"/>
      <x:c r="N7" s="225"/>
      <x:c r="O7" s="225"/>
      <x:c r="P7" s="220" t="str">
        <x:f>IF(OR(O7="",L7="",D7=""),"",IF(D7="做多",IF(O7&gt;L7,"Win",IF(O7&lt;L7,"Loss","BE")),IF(O7&lt;L7,"Win",IF(O7&gt;L7,"Loss","BE"))))</x:f>
      </x:c>
      <x:c r="Q7" s="228" t="str">
        <x:f>IF(OR(O7="",L7="",M7="",L7=M7,D7=""),"",IF(D7="做多",(O7-L7)/ABS(L7-M7),(L7-O7)/ABS(L7-M7)))</x:f>
      </x:c>
      <x:c r="R7" s="98"/>
      <x:c r="S7" s="98"/>
      <x:c r="T7" s="217"/>
    </x:row>
    <x:row r="8">
      <x:c r="A8" s="214"/>
      <x:c r="B8" s="223"/>
      <x:c r="C8" s="98"/>
      <x:c r="D8" s="98"/>
      <x:c r="E8" s="98"/>
      <x:c r="F8" s="98"/>
      <x:c r="G8" s="98"/>
      <x:c r="H8" s="98"/>
      <x:c r="I8" s="98"/>
      <x:c r="J8" s="98"/>
      <x:c r="K8" s="98"/>
      <x:c r="L8" s="225"/>
      <x:c r="M8" s="225"/>
      <x:c r="N8" s="225"/>
      <x:c r="O8" s="225"/>
      <x:c r="P8" s="220" t="str">
        <x:f>IF(OR(O8="",L8="",D8=""),"",IF(D8="做多",IF(O8&gt;L8,"Win",IF(O8&lt;L8,"Loss","BE")),IF(O8&lt;L8,"Win",IF(O8&gt;L8,"Loss","BE"))))</x:f>
      </x:c>
      <x:c r="Q8" s="228" t="str">
        <x:f>IF(OR(O8="",L8="",M8="",L8=M8,D8=""),"",IF(D8="做多",(O8-L8)/ABS(L8-M8),(L8-O8)/ABS(L8-M8)))</x:f>
      </x:c>
      <x:c r="R8" s="98"/>
      <x:c r="S8" s="98"/>
      <x:c r="T8" s="217"/>
    </x:row>
    <x:row r="9">
      <x:c r="A9" s="214"/>
      <x:c r="B9" s="223"/>
      <x:c r="C9" s="98"/>
      <x:c r="D9" s="98"/>
      <x:c r="E9" s="98"/>
      <x:c r="F9" s="98"/>
      <x:c r="G9" s="98"/>
      <x:c r="H9" s="98"/>
      <x:c r="I9" s="98"/>
      <x:c r="J9" s="98"/>
      <x:c r="K9" s="98"/>
      <x:c r="L9" s="225"/>
      <x:c r="M9" s="225"/>
      <x:c r="N9" s="225"/>
      <x:c r="O9" s="225"/>
      <x:c r="P9" s="220" t="str">
        <x:f>IF(OR(O9="",L9="",D9=""),"",IF(D9="做多",IF(O9&gt;L9,"Win",IF(O9&lt;L9,"Loss","BE")),IF(O9&lt;L9,"Win",IF(O9&gt;L9,"Loss","BE"))))</x:f>
      </x:c>
      <x:c r="Q9" s="228" t="str">
        <x:f>IF(OR(O9="",L9="",M9="",L9=M9,D9=""),"",IF(D9="做多",(O9-L9)/ABS(L9-M9),(L9-O9)/ABS(L9-M9)))</x:f>
      </x:c>
      <x:c r="R9" s="98"/>
      <x:c r="S9" s="98"/>
      <x:c r="T9" s="217"/>
    </x:row>
    <x:row r="10">
      <x:c r="A10" s="214"/>
      <x:c r="B10" s="223"/>
      <x:c r="C10" s="98"/>
      <x:c r="D10" s="98"/>
      <x:c r="E10" s="98"/>
      <x:c r="F10" s="98"/>
      <x:c r="G10" s="98"/>
      <x:c r="H10" s="98"/>
      <x:c r="I10" s="98"/>
      <x:c r="J10" s="98"/>
      <x:c r="K10" s="98"/>
      <x:c r="L10" s="225"/>
      <x:c r="M10" s="225"/>
      <x:c r="N10" s="225"/>
      <x:c r="O10" s="225"/>
      <x:c r="P10" s="220" t="str">
        <x:f>IF(OR(O10="",L10="",D10=""),"",IF(D10="做多",IF(O10&gt;L10,"Win",IF(O10&lt;L10,"Loss","BE")),IF(O10&lt;L10,"Win",IF(O10&gt;L10,"Loss","BE"))))</x:f>
      </x:c>
      <x:c r="Q10" s="228" t="str">
        <x:f>IF(OR(O10="",L10="",M10="",L10=M10,D10=""),"",IF(D10="做多",(O10-L10)/ABS(L10-M10),(L10-O10)/ABS(L10-M10)))</x:f>
      </x:c>
      <x:c r="R10" s="98"/>
      <x:c r="S10" s="98"/>
      <x:c r="T10" s="217"/>
    </x:row>
    <x:row r="11">
      <x:c r="A11" s="214"/>
      <x:c r="B11" s="223"/>
      <x:c r="C11" s="98"/>
      <x:c r="D11" s="98"/>
      <x:c r="E11" s="98"/>
      <x:c r="F11" s="98"/>
      <x:c r="G11" s="98"/>
      <x:c r="H11" s="98"/>
      <x:c r="I11" s="98"/>
      <x:c r="J11" s="98"/>
      <x:c r="K11" s="98"/>
      <x:c r="L11" s="225"/>
      <x:c r="M11" s="225"/>
      <x:c r="N11" s="225"/>
      <x:c r="O11" s="225"/>
      <x:c r="P11" s="220" t="str">
        <x:f>IF(OR(O11="",L11="",D11=""),"",IF(D11="做多",IF(O11&gt;L11,"Win",IF(O11&lt;L11,"Loss","BE")),IF(O11&lt;L11,"Win",IF(O11&gt;L11,"Loss","BE"))))</x:f>
      </x:c>
      <x:c r="Q11" s="228" t="str">
        <x:f>IF(OR(O11="",L11="",M11="",L11=M11,D11=""),"",IF(D11="做多",(O11-L11)/ABS(L11-M11),(L11-O11)/ABS(L11-M11)))</x:f>
      </x:c>
      <x:c r="R11" s="98"/>
      <x:c r="S11" s="98"/>
      <x:c r="T11" s="217"/>
    </x:row>
    <x:row r="12">
      <x:c r="A12" s="214"/>
      <x:c r="B12" s="223"/>
      <x:c r="C12" s="98"/>
      <x:c r="D12" s="98"/>
      <x:c r="E12" s="98"/>
      <x:c r="F12" s="98"/>
      <x:c r="G12" s="98"/>
      <x:c r="H12" s="98"/>
      <x:c r="I12" s="98"/>
      <x:c r="J12" s="98"/>
      <x:c r="K12" s="98"/>
      <x:c r="L12" s="225"/>
      <x:c r="M12" s="225"/>
      <x:c r="N12" s="225"/>
      <x:c r="O12" s="225"/>
      <x:c r="P12" s="220" t="str">
        <x:f>IF(OR(O12="",L12="",D12=""),"",IF(D12="做多",IF(O12&gt;L12,"Win",IF(O12&lt;L12,"Loss","BE")),IF(O12&lt;L12,"Win",IF(O12&gt;L12,"Loss","BE"))))</x:f>
      </x:c>
      <x:c r="Q12" s="228" t="str">
        <x:f>IF(OR(O12="",L12="",M12="",L12=M12,D12=""),"",IF(D12="做多",(O12-L12)/ABS(L12-M12),(L12-O12)/ABS(L12-M12)))</x:f>
      </x:c>
      <x:c r="R12" s="98"/>
      <x:c r="S12" s="98"/>
      <x:c r="T12" s="217"/>
    </x:row>
    <x:row r="13">
      <x:c r="A13" s="214"/>
      <x:c r="B13" s="223"/>
      <x:c r="C13" s="98"/>
      <x:c r="D13" s="98"/>
      <x:c r="E13" s="98"/>
      <x:c r="F13" s="98"/>
      <x:c r="G13" s="98"/>
      <x:c r="H13" s="98"/>
      <x:c r="I13" s="98"/>
      <x:c r="J13" s="98"/>
      <x:c r="K13" s="98"/>
      <x:c r="L13" s="225"/>
      <x:c r="M13" s="225"/>
      <x:c r="N13" s="225"/>
      <x:c r="O13" s="225"/>
      <x:c r="P13" s="220" t="str">
        <x:f>IF(OR(O13="",L13="",D13=""),"",IF(D13="做多",IF(O13&gt;L13,"Win",IF(O13&lt;L13,"Loss","BE")),IF(O13&lt;L13,"Win",IF(O13&gt;L13,"Loss","BE"))))</x:f>
      </x:c>
      <x:c r="Q13" s="228" t="str">
        <x:f>IF(OR(O13="",L13="",M13="",L13=M13,D13=""),"",IF(D13="做多",(O13-L13)/ABS(L13-M13),(L13-O13)/ABS(L13-M13)))</x:f>
      </x:c>
      <x:c r="R13" s="98"/>
      <x:c r="S13" s="98"/>
      <x:c r="T13" s="217"/>
    </x:row>
    <x:row r="14">
      <x:c r="A14" s="214"/>
      <x:c r="B14" s="223"/>
      <x:c r="C14" s="98"/>
      <x:c r="D14" s="98"/>
      <x:c r="E14" s="98"/>
      <x:c r="F14" s="98"/>
      <x:c r="G14" s="98"/>
      <x:c r="H14" s="98"/>
      <x:c r="I14" s="98"/>
      <x:c r="J14" s="98"/>
      <x:c r="K14" s="98"/>
      <x:c r="L14" s="225"/>
      <x:c r="M14" s="225"/>
      <x:c r="N14" s="225"/>
      <x:c r="O14" s="225"/>
      <x:c r="P14" s="220" t="str">
        <x:f>IF(OR(O14="",L14="",D14=""),"",IF(D14="做多",IF(O14&gt;L14,"Win",IF(O14&lt;L14,"Loss","BE")),IF(O14&lt;L14,"Win",IF(O14&gt;L14,"Loss","BE"))))</x:f>
      </x:c>
      <x:c r="Q14" s="228" t="str">
        <x:f>IF(OR(O14="",L14="",M14="",L14=M14,D14=""),"",IF(D14="做多",(O14-L14)/ABS(L14-M14),(L14-O14)/ABS(L14-M14)))</x:f>
      </x:c>
      <x:c r="R14" s="98"/>
      <x:c r="S14" s="98"/>
      <x:c r="T14" s="217"/>
    </x:row>
    <x:row r="15">
      <x:c r="A15" s="214"/>
      <x:c r="B15" s="223"/>
      <x:c r="C15" s="98"/>
      <x:c r="D15" s="98"/>
      <x:c r="E15" s="98"/>
      <x:c r="F15" s="98"/>
      <x:c r="G15" s="98"/>
      <x:c r="H15" s="98"/>
      <x:c r="I15" s="98"/>
      <x:c r="J15" s="98"/>
      <x:c r="K15" s="98"/>
      <x:c r="L15" s="225"/>
      <x:c r="M15" s="225"/>
      <x:c r="N15" s="225"/>
      <x:c r="O15" s="225"/>
      <x:c r="P15" s="220" t="str">
        <x:f>IF(OR(O15="",L15="",D15=""),"",IF(D15="做多",IF(O15&gt;L15,"Win",IF(O15&lt;L15,"Loss","BE")),IF(O15&lt;L15,"Win",IF(O15&gt;L15,"Loss","BE"))))</x:f>
      </x:c>
      <x:c r="Q15" s="228" t="str">
        <x:f>IF(OR(O15="",L15="",M15="",L15=M15,D15=""),"",IF(D15="做多",(O15-L15)/ABS(L15-M15),(L15-O15)/ABS(L15-M15)))</x:f>
      </x:c>
      <x:c r="R15" s="98"/>
      <x:c r="S15" s="98"/>
      <x:c r="T15" s="217"/>
    </x:row>
    <x:row r="16">
      <x:c r="A16" s="214"/>
      <x:c r="B16" s="223"/>
      <x:c r="C16" s="98"/>
      <x:c r="D16" s="98"/>
      <x:c r="E16" s="98"/>
      <x:c r="F16" s="98"/>
      <x:c r="G16" s="98"/>
      <x:c r="H16" s="98"/>
      <x:c r="I16" s="98"/>
      <x:c r="J16" s="98"/>
      <x:c r="K16" s="98"/>
      <x:c r="L16" s="225"/>
      <x:c r="M16" s="225"/>
      <x:c r="N16" s="225"/>
      <x:c r="O16" s="225"/>
      <x:c r="P16" s="220" t="str">
        <x:f>IF(OR(O16="",L16="",D16=""),"",IF(D16="做多",IF(O16&gt;L16,"Win",IF(O16&lt;L16,"Loss","BE")),IF(O16&lt;L16,"Win",IF(O16&gt;L16,"Loss","BE"))))</x:f>
      </x:c>
      <x:c r="Q16" s="228" t="str">
        <x:f>IF(OR(O16="",L16="",M16="",L16=M16,D16=""),"",IF(D16="做多",(O16-L16)/ABS(L16-M16),(L16-O16)/ABS(L16-M16)))</x:f>
      </x:c>
      <x:c r="R16" s="98"/>
      <x:c r="S16" s="98"/>
      <x:c r="T16" s="217"/>
    </x:row>
    <x:row r="17">
      <x:c r="A17" s="214"/>
      <x:c r="B17" s="223"/>
      <x:c r="C17" s="98"/>
      <x:c r="D17" s="98"/>
      <x:c r="E17" s="98"/>
      <x:c r="F17" s="98"/>
      <x:c r="G17" s="98"/>
      <x:c r="H17" s="98"/>
      <x:c r="I17" s="98"/>
      <x:c r="J17" s="98"/>
      <x:c r="K17" s="98"/>
      <x:c r="L17" s="225"/>
      <x:c r="M17" s="225"/>
      <x:c r="N17" s="225"/>
      <x:c r="O17" s="225"/>
      <x:c r="P17" s="220" t="str">
        <x:f>IF(OR(O17="",L17="",D17=""),"",IF(D17="做多",IF(O17&gt;L17,"Win",IF(O17&lt;L17,"Loss","BE")),IF(O17&lt;L17,"Win",IF(O17&gt;L17,"Loss","BE"))))</x:f>
      </x:c>
      <x:c r="Q17" s="228" t="str">
        <x:f>IF(OR(O17="",L17="",M17="",L17=M17,D17=""),"",IF(D17="做多",(O17-L17)/ABS(L17-M17),(L17-O17)/ABS(L17-M17)))</x:f>
      </x:c>
      <x:c r="R17" s="98"/>
      <x:c r="S17" s="98"/>
      <x:c r="T17" s="217"/>
    </x:row>
    <x:row r="18">
      <x:c r="A18" s="214"/>
      <x:c r="B18" s="223"/>
      <x:c r="C18" s="98"/>
      <x:c r="D18" s="98"/>
      <x:c r="E18" s="98"/>
      <x:c r="F18" s="98"/>
      <x:c r="G18" s="98"/>
      <x:c r="H18" s="98"/>
      <x:c r="I18" s="98"/>
      <x:c r="J18" s="98"/>
      <x:c r="K18" s="98"/>
      <x:c r="L18" s="225"/>
      <x:c r="M18" s="225"/>
      <x:c r="N18" s="225"/>
      <x:c r="O18" s="225"/>
      <x:c r="P18" s="220" t="str">
        <x:f>IF(OR(O18="",L18="",D18=""),"",IF(D18="做多",IF(O18&gt;L18,"Win",IF(O18&lt;L18,"Loss","BE")),IF(O18&lt;L18,"Win",IF(O18&gt;L18,"Loss","BE"))))</x:f>
      </x:c>
      <x:c r="Q18" s="228" t="str">
        <x:f>IF(OR(O18="",L18="",M18="",L18=M18,D18=""),"",IF(D18="做多",(O18-L18)/ABS(L18-M18),(L18-O18)/ABS(L18-M18)))</x:f>
      </x:c>
      <x:c r="R18" s="98"/>
      <x:c r="S18" s="98"/>
      <x:c r="T18" s="217"/>
    </x:row>
    <x:row r="19">
      <x:c r="A19" s="214"/>
      <x:c r="B19" s="223"/>
      <x:c r="C19" s="98"/>
      <x:c r="D19" s="98"/>
      <x:c r="E19" s="98"/>
      <x:c r="F19" s="98"/>
      <x:c r="G19" s="98"/>
      <x:c r="H19" s="98"/>
      <x:c r="I19" s="98"/>
      <x:c r="J19" s="98"/>
      <x:c r="K19" s="98"/>
      <x:c r="L19" s="225"/>
      <x:c r="M19" s="225"/>
      <x:c r="N19" s="225"/>
      <x:c r="O19" s="225"/>
      <x:c r="P19" s="220" t="str">
        <x:f>IF(OR(O19="",L19="",D19=""),"",IF(D19="做多",IF(O19&gt;L19,"Win",IF(O19&lt;L19,"Loss","BE")),IF(O19&lt;L19,"Win",IF(O19&gt;L19,"Loss","BE"))))</x:f>
      </x:c>
      <x:c r="Q19" s="228" t="str">
        <x:f>IF(OR(O19="",L19="",M19="",L19=M19,D19=""),"",IF(D19="做多",(O19-L19)/ABS(L19-M19),(L19-O19)/ABS(L19-M19)))</x:f>
      </x:c>
      <x:c r="R19" s="98"/>
      <x:c r="S19" s="98"/>
      <x:c r="T19" s="217"/>
    </x:row>
    <x:row r="20">
      <x:c r="A20" s="214"/>
      <x:c r="B20" s="223"/>
      <x:c r="C20" s="98"/>
      <x:c r="D20" s="98"/>
      <x:c r="E20" s="98"/>
      <x:c r="F20" s="98"/>
      <x:c r="G20" s="98"/>
      <x:c r="H20" s="98"/>
      <x:c r="I20" s="98"/>
      <x:c r="J20" s="98"/>
      <x:c r="K20" s="98"/>
      <x:c r="L20" s="225"/>
      <x:c r="M20" s="225"/>
      <x:c r="N20" s="225"/>
      <x:c r="O20" s="225"/>
      <x:c r="P20" s="220" t="str">
        <x:f>IF(OR(O20="",L20="",D20=""),"",IF(D20="做多",IF(O20&gt;L20,"Win",IF(O20&lt;L20,"Loss","BE")),IF(O20&lt;L20,"Win",IF(O20&gt;L20,"Loss","BE"))))</x:f>
      </x:c>
      <x:c r="Q20" s="228" t="str">
        <x:f>IF(OR(O20="",L20="",M20="",L20=M20,D20=""),"",IF(D20="做多",(O20-L20)/ABS(L20-M20),(L20-O20)/ABS(L20-M20)))</x:f>
      </x:c>
      <x:c r="R20" s="98"/>
      <x:c r="S20" s="98"/>
      <x:c r="T20" s="217"/>
    </x:row>
    <x:row r="21">
      <x:c r="A21" s="214"/>
      <x:c r="B21" s="223"/>
      <x:c r="C21" s="98"/>
      <x:c r="D21" s="98"/>
      <x:c r="E21" s="98"/>
      <x:c r="F21" s="98"/>
      <x:c r="G21" s="98"/>
      <x:c r="H21" s="98"/>
      <x:c r="I21" s="98"/>
      <x:c r="J21" s="98"/>
      <x:c r="K21" s="98"/>
      <x:c r="L21" s="225"/>
      <x:c r="M21" s="225"/>
      <x:c r="N21" s="225"/>
      <x:c r="O21" s="225"/>
      <x:c r="P21" s="220" t="str">
        <x:f>IF(OR(O21="",L21="",D21=""),"",IF(D21="做多",IF(O21&gt;L21,"Win",IF(O21&lt;L21,"Loss","BE")),IF(O21&lt;L21,"Win",IF(O21&gt;L21,"Loss","BE"))))</x:f>
      </x:c>
      <x:c r="Q21" s="228" t="str">
        <x:f>IF(OR(O21="",L21="",M21="",L21=M21,D21=""),"",IF(D21="做多",(O21-L21)/ABS(L21-M21),(L21-O21)/ABS(L21-M21)))</x:f>
      </x:c>
      <x:c r="R21" s="98"/>
      <x:c r="S21" s="98"/>
      <x:c r="T21" s="217"/>
    </x:row>
    <x:row r="22">
      <x:c r="A22" s="214"/>
      <x:c r="B22" s="223"/>
      <x:c r="C22" s="98"/>
      <x:c r="D22" s="98"/>
      <x:c r="E22" s="98"/>
      <x:c r="F22" s="98"/>
      <x:c r="G22" s="98"/>
      <x:c r="H22" s="98"/>
      <x:c r="I22" s="98"/>
      <x:c r="J22" s="98"/>
      <x:c r="K22" s="98"/>
      <x:c r="L22" s="225"/>
      <x:c r="M22" s="225"/>
      <x:c r="N22" s="225"/>
      <x:c r="O22" s="225"/>
      <x:c r="P22" s="220" t="str">
        <x:f>IF(OR(O22="",L22="",D22=""),"",IF(D22="做多",IF(O22&gt;L22,"Win",IF(O22&lt;L22,"Loss","BE")),IF(O22&lt;L22,"Win",IF(O22&gt;L22,"Loss","BE"))))</x:f>
      </x:c>
      <x:c r="Q22" s="228" t="str">
        <x:f>IF(OR(O22="",L22="",M22="",L22=M22,D22=""),"",IF(D22="做多",(O22-L22)/ABS(L22-M22),(L22-O22)/ABS(L22-M22)))</x:f>
      </x:c>
      <x:c r="R22" s="98"/>
      <x:c r="S22" s="98"/>
      <x:c r="T22" s="217"/>
    </x:row>
    <x:row r="23">
      <x:c r="A23" s="214"/>
      <x:c r="B23" s="223"/>
      <x:c r="C23" s="98"/>
      <x:c r="D23" s="98"/>
      <x:c r="E23" s="98"/>
      <x:c r="F23" s="98"/>
      <x:c r="G23" s="98"/>
      <x:c r="H23" s="98"/>
      <x:c r="I23" s="98"/>
      <x:c r="J23" s="98"/>
      <x:c r="K23" s="98"/>
      <x:c r="L23" s="225"/>
      <x:c r="M23" s="225"/>
      <x:c r="N23" s="225"/>
      <x:c r="O23" s="225"/>
      <x:c r="P23" s="220" t="str">
        <x:f>IF(OR(O23="",L23="",D23=""),"",IF(D23="做多",IF(O23&gt;L23,"Win",IF(O23&lt;L23,"Loss","BE")),IF(O23&lt;L23,"Win",IF(O23&gt;L23,"Loss","BE"))))</x:f>
      </x:c>
      <x:c r="Q23" s="228" t="str">
        <x:f>IF(OR(O23="",L23="",M23="",L23=M23,D23=""),"",IF(D23="做多",(O23-L23)/ABS(L23-M23),(L23-O23)/ABS(L23-M23)))</x:f>
      </x:c>
      <x:c r="R23" s="98"/>
      <x:c r="S23" s="98"/>
      <x:c r="T23" s="217"/>
    </x:row>
    <x:row r="24">
      <x:c r="A24" s="214"/>
      <x:c r="B24" s="223"/>
      <x:c r="C24" s="98"/>
      <x:c r="D24" s="98"/>
      <x:c r="E24" s="98"/>
      <x:c r="F24" s="98"/>
      <x:c r="G24" s="98"/>
      <x:c r="H24" s="98"/>
      <x:c r="I24" s="98"/>
      <x:c r="J24" s="98"/>
      <x:c r="K24" s="98"/>
      <x:c r="L24" s="225"/>
      <x:c r="M24" s="225"/>
      <x:c r="N24" s="225"/>
      <x:c r="O24" s="225"/>
      <x:c r="P24" s="220" t="str">
        <x:f>IF(OR(O24="",L24="",D24=""),"",IF(D24="做多",IF(O24&gt;L24,"Win",IF(O24&lt;L24,"Loss","BE")),IF(O24&lt;L24,"Win",IF(O24&gt;L24,"Loss","BE"))))</x:f>
      </x:c>
      <x:c r="Q24" s="228" t="str">
        <x:f>IF(OR(O24="",L24="",M24="",L24=M24,D24=""),"",IF(D24="做多",(O24-L24)/ABS(L24-M24),(L24-O24)/ABS(L24-M24)))</x:f>
      </x:c>
      <x:c r="R24" s="98"/>
      <x:c r="S24" s="98"/>
      <x:c r="T24" s="217"/>
    </x:row>
    <x:row r="25">
      <x:c r="A25" s="214"/>
      <x:c r="B25" s="223"/>
      <x:c r="C25" s="98"/>
      <x:c r="D25" s="98"/>
      <x:c r="E25" s="98"/>
      <x:c r="F25" s="98"/>
      <x:c r="G25" s="98"/>
      <x:c r="H25" s="98"/>
      <x:c r="I25" s="98"/>
      <x:c r="J25" s="98"/>
      <x:c r="K25" s="98"/>
      <x:c r="L25" s="225"/>
      <x:c r="M25" s="225"/>
      <x:c r="N25" s="225"/>
      <x:c r="O25" s="225"/>
      <x:c r="P25" s="220" t="str">
        <x:f>IF(OR(O25="",L25="",D25=""),"",IF(D25="做多",IF(O25&gt;L25,"Win",IF(O25&lt;L25,"Loss","BE")),IF(O25&lt;L25,"Win",IF(O25&gt;L25,"Loss","BE"))))</x:f>
      </x:c>
      <x:c r="Q25" s="228" t="str">
        <x:f>IF(OR(O25="",L25="",M25="",L25=M25,D25=""),"",IF(D25="做多",(O25-L25)/ABS(L25-M25),(L25-O25)/ABS(L25-M25)))</x:f>
      </x:c>
      <x:c r="R25" s="98"/>
      <x:c r="S25" s="98"/>
      <x:c r="T25" s="217"/>
    </x:row>
    <x:row r="26">
      <x:c r="A26" s="214"/>
      <x:c r="B26" s="223"/>
      <x:c r="C26" s="98"/>
      <x:c r="D26" s="98"/>
      <x:c r="E26" s="98"/>
      <x:c r="F26" s="98"/>
      <x:c r="G26" s="98"/>
      <x:c r="H26" s="98"/>
      <x:c r="I26" s="98"/>
      <x:c r="J26" s="98"/>
      <x:c r="K26" s="98"/>
      <x:c r="L26" s="225"/>
      <x:c r="M26" s="225"/>
      <x:c r="N26" s="225"/>
      <x:c r="O26" s="225"/>
      <x:c r="P26" s="220" t="str">
        <x:f>IF(OR(O26="",L26="",D26=""),"",IF(D26="做多",IF(O26&gt;L26,"Win",IF(O26&lt;L26,"Loss","BE")),IF(O26&lt;L26,"Win",IF(O26&gt;L26,"Loss","BE"))))</x:f>
      </x:c>
      <x:c r="Q26" s="228" t="str">
        <x:f>IF(OR(O26="",L26="",M26="",L26=M26,D26=""),"",IF(D26="做多",(O26-L26)/ABS(L26-M26),(L26-O26)/ABS(L26-M26)))</x:f>
      </x:c>
      <x:c r="R26" s="98"/>
      <x:c r="S26" s="98"/>
      <x:c r="T26" s="217"/>
    </x:row>
    <x:row r="27">
      <x:c r="A27" s="214"/>
      <x:c r="B27" s="223"/>
      <x:c r="C27" s="98"/>
      <x:c r="D27" s="98"/>
      <x:c r="E27" s="98"/>
      <x:c r="F27" s="98"/>
      <x:c r="G27" s="98"/>
      <x:c r="H27" s="98"/>
      <x:c r="I27" s="98"/>
      <x:c r="J27" s="98"/>
      <x:c r="K27" s="98"/>
      <x:c r="L27" s="225"/>
      <x:c r="M27" s="225"/>
      <x:c r="N27" s="225"/>
      <x:c r="O27" s="225"/>
      <x:c r="P27" s="220" t="str">
        <x:f>IF(OR(O27="",L27="",D27=""),"",IF(D27="做多",IF(O27&gt;L27,"Win",IF(O27&lt;L27,"Loss","BE")),IF(O27&lt;L27,"Win",IF(O27&gt;L27,"Loss","BE"))))</x:f>
      </x:c>
      <x:c r="Q27" s="228" t="str">
        <x:f>IF(OR(O27="",L27="",M27="",L27=M27,D27=""),"",IF(D27="做多",(O27-L27)/ABS(L27-M27),(L27-O27)/ABS(L27-M27)))</x:f>
      </x:c>
      <x:c r="R27" s="98"/>
      <x:c r="S27" s="98"/>
      <x:c r="T27" s="217"/>
    </x:row>
    <x:row r="28">
      <x:c r="A28" s="214"/>
      <x:c r="B28" s="223"/>
      <x:c r="C28" s="98"/>
      <x:c r="D28" s="98"/>
      <x:c r="E28" s="98"/>
      <x:c r="F28" s="98"/>
      <x:c r="G28" s="98"/>
      <x:c r="H28" s="98"/>
      <x:c r="I28" s="98"/>
      <x:c r="J28" s="98"/>
      <x:c r="K28" s="98"/>
      <x:c r="L28" s="225"/>
      <x:c r="M28" s="225"/>
      <x:c r="N28" s="225"/>
      <x:c r="O28" s="225"/>
      <x:c r="P28" s="220" t="str">
        <x:f>IF(OR(O28="",L28="",D28=""),"",IF(D28="做多",IF(O28&gt;L28,"Win",IF(O28&lt;L28,"Loss","BE")),IF(O28&lt;L28,"Win",IF(O28&gt;L28,"Loss","BE"))))</x:f>
      </x:c>
      <x:c r="Q28" s="228" t="str">
        <x:f>IF(OR(O28="",L28="",M28="",L28=M28,D28=""),"",IF(D28="做多",(O28-L28)/ABS(L28-M28),(L28-O28)/ABS(L28-M28)))</x:f>
      </x:c>
      <x:c r="R28" s="98"/>
      <x:c r="S28" s="98"/>
      <x:c r="T28" s="217"/>
    </x:row>
    <x:row r="29">
      <x:c r="A29" s="214"/>
      <x:c r="B29" s="223"/>
      <x:c r="C29" s="98"/>
      <x:c r="D29" s="98"/>
      <x:c r="E29" s="98"/>
      <x:c r="F29" s="98"/>
      <x:c r="G29" s="98"/>
      <x:c r="H29" s="98"/>
      <x:c r="I29" s="98"/>
      <x:c r="J29" s="98"/>
      <x:c r="K29" s="98"/>
      <x:c r="L29" s="225"/>
      <x:c r="M29" s="225"/>
      <x:c r="N29" s="225"/>
      <x:c r="O29" s="225"/>
      <x:c r="P29" s="220" t="str">
        <x:f>IF(OR(O29="",L29="",D29=""),"",IF(D29="做多",IF(O29&gt;L29,"Win",IF(O29&lt;L29,"Loss","BE")),IF(O29&lt;L29,"Win",IF(O29&gt;L29,"Loss","BE"))))</x:f>
      </x:c>
      <x:c r="Q29" s="228" t="str">
        <x:f>IF(OR(O29="",L29="",M29="",L29=M29,D29=""),"",IF(D29="做多",(O29-L29)/ABS(L29-M29),(L29-O29)/ABS(L29-M29)))</x:f>
      </x:c>
      <x:c r="R29" s="98"/>
      <x:c r="S29" s="98"/>
      <x:c r="T29" s="217"/>
    </x:row>
    <x:row r="30">
      <x:c r="A30" s="214"/>
      <x:c r="B30" s="223"/>
      <x:c r="C30" s="98"/>
      <x:c r="D30" s="98"/>
      <x:c r="E30" s="98"/>
      <x:c r="F30" s="98"/>
      <x:c r="G30" s="98"/>
      <x:c r="H30" s="98"/>
      <x:c r="I30" s="98"/>
      <x:c r="J30" s="98"/>
      <x:c r="K30" s="98"/>
      <x:c r="L30" s="225"/>
      <x:c r="M30" s="225"/>
      <x:c r="N30" s="225"/>
      <x:c r="O30" s="225"/>
      <x:c r="P30" s="220" t="str">
        <x:f>IF(OR(O30="",L30="",D30=""),"",IF(D30="做多",IF(O30&gt;L30,"Win",IF(O30&lt;L30,"Loss","BE")),IF(O30&lt;L30,"Win",IF(O30&gt;L30,"Loss","BE"))))</x:f>
      </x:c>
      <x:c r="Q30" s="228" t="str">
        <x:f>IF(OR(O30="",L30="",M30="",L30=M30,D30=""),"",IF(D30="做多",(O30-L30)/ABS(L30-M30),(L30-O30)/ABS(L30-M30)))</x:f>
      </x:c>
      <x:c r="R30" s="98"/>
      <x:c r="S30" s="98"/>
      <x:c r="T30" s="217"/>
    </x:row>
    <x:row r="31">
      <x:c r="A31" s="214"/>
      <x:c r="B31" s="223"/>
      <x:c r="C31" s="98"/>
      <x:c r="D31" s="98"/>
      <x:c r="E31" s="98"/>
      <x:c r="F31" s="98"/>
      <x:c r="G31" s="98"/>
      <x:c r="H31" s="98"/>
      <x:c r="I31" s="98"/>
      <x:c r="J31" s="98"/>
      <x:c r="K31" s="98"/>
      <x:c r="L31" s="225"/>
      <x:c r="M31" s="225"/>
      <x:c r="N31" s="225"/>
      <x:c r="O31" s="225"/>
      <x:c r="P31" s="220" t="str">
        <x:f>IF(OR(O31="",L31="",D31=""),"",IF(D31="做多",IF(O31&gt;L31,"Win",IF(O31&lt;L31,"Loss","BE")),IF(O31&lt;L31,"Win",IF(O31&gt;L31,"Loss","BE"))))</x:f>
      </x:c>
      <x:c r="Q31" s="228" t="str">
        <x:f>IF(OR(O31="",L31="",M31="",L31=M31,D31=""),"",IF(D31="做多",(O31-L31)/ABS(L31-M31),(L31-O31)/ABS(L31-M31)))</x:f>
      </x:c>
      <x:c r="R31" s="98"/>
      <x:c r="S31" s="98"/>
      <x:c r="T31" s="217"/>
    </x:row>
    <x:row r="32">
      <x:c r="A32" s="214"/>
      <x:c r="B32" s="223"/>
      <x:c r="C32" s="98"/>
      <x:c r="D32" s="98"/>
      <x:c r="E32" s="98"/>
      <x:c r="F32" s="98"/>
      <x:c r="G32" s="98"/>
      <x:c r="H32" s="98"/>
      <x:c r="I32" s="98"/>
      <x:c r="J32" s="98"/>
      <x:c r="K32" s="98"/>
      <x:c r="L32" s="225"/>
      <x:c r="M32" s="225"/>
      <x:c r="N32" s="225"/>
      <x:c r="O32" s="225"/>
      <x:c r="P32" s="220" t="str">
        <x:f>IF(OR(O32="",L32="",D32=""),"",IF(D32="做多",IF(O32&gt;L32,"Win",IF(O32&lt;L32,"Loss","BE")),IF(O32&lt;L32,"Win",IF(O32&gt;L32,"Loss","BE"))))</x:f>
      </x:c>
      <x:c r="Q32" s="228" t="str">
        <x:f>IF(OR(O32="",L32="",M32="",L32=M32,D32=""),"",IF(D32="做多",(O32-L32)/ABS(L32-M32),(L32-O32)/ABS(L32-M32)))</x:f>
      </x:c>
      <x:c r="R32" s="98"/>
      <x:c r="S32" s="98"/>
      <x:c r="T32" s="217"/>
    </x:row>
    <x:row r="33">
      <x:c r="A33" s="214"/>
      <x:c r="B33" s="223"/>
      <x:c r="C33" s="98"/>
      <x:c r="D33" s="98"/>
      <x:c r="E33" s="98"/>
      <x:c r="F33" s="98"/>
      <x:c r="G33" s="98"/>
      <x:c r="H33" s="98"/>
      <x:c r="I33" s="98"/>
      <x:c r="J33" s="98"/>
      <x:c r="K33" s="98"/>
      <x:c r="L33" s="225"/>
      <x:c r="M33" s="225"/>
      <x:c r="N33" s="225"/>
      <x:c r="O33" s="225"/>
      <x:c r="P33" s="220" t="str">
        <x:f>IF(OR(O33="",L33="",D33=""),"",IF(D33="做多",IF(O33&gt;L33,"Win",IF(O33&lt;L33,"Loss","BE")),IF(O33&lt;L33,"Win",IF(O33&gt;L33,"Loss","BE"))))</x:f>
      </x:c>
      <x:c r="Q33" s="228" t="str">
        <x:f>IF(OR(O33="",L33="",M33="",L33=M33,D33=""),"",IF(D33="做多",(O33-L33)/ABS(L33-M33),(L33-O33)/ABS(L33-M33)))</x:f>
      </x:c>
      <x:c r="R33" s="98"/>
      <x:c r="S33" s="98"/>
      <x:c r="T33" s="217"/>
    </x:row>
    <x:row r="34">
      <x:c r="A34" s="214"/>
      <x:c r="B34" s="223"/>
      <x:c r="C34" s="98"/>
      <x:c r="D34" s="98"/>
      <x:c r="E34" s="98"/>
      <x:c r="F34" s="98"/>
      <x:c r="G34" s="98"/>
      <x:c r="H34" s="98"/>
      <x:c r="I34" s="98"/>
      <x:c r="J34" s="98"/>
      <x:c r="K34" s="98"/>
      <x:c r="L34" s="225"/>
      <x:c r="M34" s="225"/>
      <x:c r="N34" s="225"/>
      <x:c r="O34" s="225"/>
      <x:c r="P34" s="220" t="str">
        <x:f>IF(OR(O34="",L34="",D34=""),"",IF(D34="做多",IF(O34&gt;L34,"Win",IF(O34&lt;L34,"Loss","BE")),IF(O34&lt;L34,"Win",IF(O34&gt;L34,"Loss","BE"))))</x:f>
      </x:c>
      <x:c r="Q34" s="228" t="str">
        <x:f>IF(OR(O34="",L34="",M34="",L34=M34,D34=""),"",IF(D34="做多",(O34-L34)/ABS(L34-M34),(L34-O34)/ABS(L34-M34)))</x:f>
      </x:c>
      <x:c r="R34" s="98"/>
      <x:c r="S34" s="98"/>
      <x:c r="T34" s="217"/>
    </x:row>
    <x:row r="35">
      <x:c r="A35" s="214"/>
      <x:c r="B35" s="223"/>
      <x:c r="C35" s="98"/>
      <x:c r="D35" s="98"/>
      <x:c r="E35" s="98"/>
      <x:c r="F35" s="98"/>
      <x:c r="G35" s="98"/>
      <x:c r="H35" s="98"/>
      <x:c r="I35" s="98"/>
      <x:c r="J35" s="98"/>
      <x:c r="K35" s="98"/>
      <x:c r="L35" s="225"/>
      <x:c r="M35" s="225"/>
      <x:c r="N35" s="225"/>
      <x:c r="O35" s="225"/>
      <x:c r="P35" s="220" t="str">
        <x:f>IF(OR(O35="",L35="",D35=""),"",IF(D35="做多",IF(O35&gt;L35,"Win",IF(O35&lt;L35,"Loss","BE")),IF(O35&lt;L35,"Win",IF(O35&gt;L35,"Loss","BE"))))</x:f>
      </x:c>
      <x:c r="Q35" s="228" t="str">
        <x:f>IF(OR(O35="",L35="",M35="",L35=M35,D35=""),"",IF(D35="做多",(O35-L35)/ABS(L35-M35),(L35-O35)/ABS(L35-M35)))</x:f>
      </x:c>
      <x:c r="R35" s="98"/>
      <x:c r="S35" s="98"/>
      <x:c r="T35" s="217"/>
    </x:row>
    <x:row r="36">
      <x:c r="A36" s="214"/>
      <x:c r="B36" s="223"/>
      <x:c r="C36" s="98"/>
      <x:c r="D36" s="98"/>
      <x:c r="E36" s="98"/>
      <x:c r="F36" s="98"/>
      <x:c r="G36" s="98"/>
      <x:c r="H36" s="98"/>
      <x:c r="I36" s="98"/>
      <x:c r="J36" s="98"/>
      <x:c r="K36" s="98"/>
      <x:c r="L36" s="225"/>
      <x:c r="M36" s="225"/>
      <x:c r="N36" s="225"/>
      <x:c r="O36" s="225"/>
      <x:c r="P36" s="220" t="str">
        <x:f>IF(OR(O36="",L36="",D36=""),"",IF(D36="做多",IF(O36&gt;L36,"Win",IF(O36&lt;L36,"Loss","BE")),IF(O36&lt;L36,"Win",IF(O36&gt;L36,"Loss","BE"))))</x:f>
      </x:c>
      <x:c r="Q36" s="228" t="str">
        <x:f>IF(OR(O36="",L36="",M36="",L36=M36,D36=""),"",IF(D36="做多",(O36-L36)/ABS(L36-M36),(L36-O36)/ABS(L36-M36)))</x:f>
      </x:c>
      <x:c r="R36" s="98"/>
      <x:c r="S36" s="98"/>
      <x:c r="T36" s="217"/>
    </x:row>
    <x:row r="37">
      <x:c r="A37" s="214"/>
      <x:c r="B37" s="223"/>
      <x:c r="C37" s="98"/>
      <x:c r="D37" s="98"/>
      <x:c r="E37" s="98"/>
      <x:c r="F37" s="98"/>
      <x:c r="G37" s="98"/>
      <x:c r="H37" s="98"/>
      <x:c r="I37" s="98"/>
      <x:c r="J37" s="98"/>
      <x:c r="K37" s="98"/>
      <x:c r="L37" s="225"/>
      <x:c r="M37" s="225"/>
      <x:c r="N37" s="225"/>
      <x:c r="O37" s="225"/>
      <x:c r="P37" s="220" t="str">
        <x:f>IF(OR(O37="",L37="",D37=""),"",IF(D37="做多",IF(O37&gt;L37,"Win",IF(O37&lt;L37,"Loss","BE")),IF(O37&lt;L37,"Win",IF(O37&gt;L37,"Loss","BE"))))</x:f>
      </x:c>
      <x:c r="Q37" s="228" t="str">
        <x:f>IF(OR(O37="",L37="",M37="",L37=M37,D37=""),"",IF(D37="做多",(O37-L37)/ABS(L37-M37),(L37-O37)/ABS(L37-M37)))</x:f>
      </x:c>
      <x:c r="R37" s="98"/>
      <x:c r="S37" s="98"/>
      <x:c r="T37" s="217"/>
    </x:row>
    <x:row r="38">
      <x:c r="A38" s="214"/>
      <x:c r="B38" s="223"/>
      <x:c r="C38" s="98"/>
      <x:c r="D38" s="98"/>
      <x:c r="E38" s="98"/>
      <x:c r="F38" s="98"/>
      <x:c r="G38" s="98"/>
      <x:c r="H38" s="98"/>
      <x:c r="I38" s="98"/>
      <x:c r="J38" s="98"/>
      <x:c r="K38" s="98"/>
      <x:c r="L38" s="225"/>
      <x:c r="M38" s="225"/>
      <x:c r="N38" s="225"/>
      <x:c r="O38" s="225"/>
      <x:c r="P38" s="220" t="str">
        <x:f>IF(OR(O38="",L38="",D38=""),"",IF(D38="做多",IF(O38&gt;L38,"Win",IF(O38&lt;L38,"Loss","BE")),IF(O38&lt;L38,"Win",IF(O38&gt;L38,"Loss","BE"))))</x:f>
      </x:c>
      <x:c r="Q38" s="228" t="str">
        <x:f>IF(OR(O38="",L38="",M38="",L38=M38,D38=""),"",IF(D38="做多",(O38-L38)/ABS(L38-M38),(L38-O38)/ABS(L38-M38)))</x:f>
      </x:c>
      <x:c r="R38" s="98"/>
      <x:c r="S38" s="98"/>
      <x:c r="T38" s="217"/>
    </x:row>
    <x:row r="39">
      <x:c r="A39" s="214"/>
      <x:c r="B39" s="223"/>
      <x:c r="C39" s="98"/>
      <x:c r="D39" s="98"/>
      <x:c r="E39" s="98"/>
      <x:c r="F39" s="98"/>
      <x:c r="G39" s="98"/>
      <x:c r="H39" s="98"/>
      <x:c r="I39" s="98"/>
      <x:c r="J39" s="98"/>
      <x:c r="K39" s="98"/>
      <x:c r="L39" s="225"/>
      <x:c r="M39" s="225"/>
      <x:c r="N39" s="225"/>
      <x:c r="O39" s="225"/>
      <x:c r="P39" s="220" t="str">
        <x:f>IF(OR(O39="",L39="",D39=""),"",IF(D39="做多",IF(O39&gt;L39,"Win",IF(O39&lt;L39,"Loss","BE")),IF(O39&lt;L39,"Win",IF(O39&gt;L39,"Loss","BE"))))</x:f>
      </x:c>
      <x:c r="Q39" s="228" t="str">
        <x:f>IF(OR(O39="",L39="",M39="",L39=M39,D39=""),"",IF(D39="做多",(O39-L39)/ABS(L39-M39),(L39-O39)/ABS(L39-M39)))</x:f>
      </x:c>
      <x:c r="R39" s="98"/>
      <x:c r="S39" s="98"/>
      <x:c r="T39" s="217"/>
    </x:row>
    <x:row r="40">
      <x:c r="A40" s="214"/>
      <x:c r="B40" s="223"/>
      <x:c r="C40" s="98"/>
      <x:c r="D40" s="98"/>
      <x:c r="E40" s="98"/>
      <x:c r="F40" s="98"/>
      <x:c r="G40" s="98"/>
      <x:c r="H40" s="98"/>
      <x:c r="I40" s="98"/>
      <x:c r="J40" s="98"/>
      <x:c r="K40" s="98"/>
      <x:c r="L40" s="225"/>
      <x:c r="M40" s="225"/>
      <x:c r="N40" s="225"/>
      <x:c r="O40" s="225"/>
      <x:c r="P40" s="220" t="str">
        <x:f>IF(OR(O40="",L40="",D40=""),"",IF(D40="做多",IF(O40&gt;L40,"Win",IF(O40&lt;L40,"Loss","BE")),IF(O40&lt;L40,"Win",IF(O40&gt;L40,"Loss","BE"))))</x:f>
      </x:c>
      <x:c r="Q40" s="228" t="str">
        <x:f>IF(OR(O40="",L40="",M40="",L40=M40,D40=""),"",IF(D40="做多",(O40-L40)/ABS(L40-M40),(L40-O40)/ABS(L40-M40)))</x:f>
      </x:c>
      <x:c r="R40" s="98"/>
      <x:c r="S40" s="98"/>
      <x:c r="T40" s="217"/>
    </x:row>
    <x:row r="41">
      <x:c r="A41" s="214"/>
      <x:c r="B41" s="223"/>
      <x:c r="C41" s="98"/>
      <x:c r="D41" s="98"/>
      <x:c r="E41" s="98"/>
      <x:c r="F41" s="98"/>
      <x:c r="G41" s="98"/>
      <x:c r="H41" s="98"/>
      <x:c r="I41" s="98"/>
      <x:c r="J41" s="98"/>
      <x:c r="K41" s="98"/>
      <x:c r="L41" s="225"/>
      <x:c r="M41" s="225"/>
      <x:c r="N41" s="225"/>
      <x:c r="O41" s="225"/>
      <x:c r="P41" s="220" t="str">
        <x:f>IF(OR(O41="",L41="",D41=""),"",IF(D41="做多",IF(O41&gt;L41,"Win",IF(O41&lt;L41,"Loss","BE")),IF(O41&lt;L41,"Win",IF(O41&gt;L41,"Loss","BE"))))</x:f>
      </x:c>
      <x:c r="Q41" s="228" t="str">
        <x:f>IF(OR(O41="",L41="",M41="",L41=M41,D41=""),"",IF(D41="做多",(O41-L41)/ABS(L41-M41),(L41-O41)/ABS(L41-M41)))</x:f>
      </x:c>
      <x:c r="R41" s="98"/>
      <x:c r="S41" s="98"/>
      <x:c r="T41" s="217"/>
    </x:row>
    <x:row r="42">
      <x:c r="A42" s="214"/>
      <x:c r="B42" s="223"/>
      <x:c r="C42" s="98"/>
      <x:c r="D42" s="98"/>
      <x:c r="E42" s="98"/>
      <x:c r="F42" s="98"/>
      <x:c r="G42" s="98"/>
      <x:c r="H42" s="98"/>
      <x:c r="I42" s="98"/>
      <x:c r="J42" s="98"/>
      <x:c r="K42" s="98"/>
      <x:c r="L42" s="225"/>
      <x:c r="M42" s="225"/>
      <x:c r="N42" s="225"/>
      <x:c r="O42" s="225"/>
      <x:c r="P42" s="220" t="str">
        <x:f>IF(OR(O42="",L42="",D42=""),"",IF(D42="做多",IF(O42&gt;L42,"Win",IF(O42&lt;L42,"Loss","BE")),IF(O42&lt;L42,"Win",IF(O42&gt;L42,"Loss","BE"))))</x:f>
      </x:c>
      <x:c r="Q42" s="228" t="str">
        <x:f>IF(OR(O42="",L42="",M42="",L42=M42,D42=""),"",IF(D42="做多",(O42-L42)/ABS(L42-M42),(L42-O42)/ABS(L42-M42)))</x:f>
      </x:c>
      <x:c r="R42" s="98"/>
      <x:c r="S42" s="98"/>
      <x:c r="T42" s="217"/>
    </x:row>
    <x:row r="43">
      <x:c r="A43" s="214"/>
      <x:c r="B43" s="223"/>
      <x:c r="C43" s="98"/>
      <x:c r="D43" s="98"/>
      <x:c r="E43" s="98"/>
      <x:c r="F43" s="98"/>
      <x:c r="G43" s="98"/>
      <x:c r="H43" s="98"/>
      <x:c r="I43" s="98"/>
      <x:c r="J43" s="98"/>
      <x:c r="K43" s="98"/>
      <x:c r="L43" s="225"/>
      <x:c r="M43" s="225"/>
      <x:c r="N43" s="225"/>
      <x:c r="O43" s="225"/>
      <x:c r="P43" s="220" t="str">
        <x:f>IF(OR(O43="",L43="",D43=""),"",IF(D43="做多",IF(O43&gt;L43,"Win",IF(O43&lt;L43,"Loss","BE")),IF(O43&lt;L43,"Win",IF(O43&gt;L43,"Loss","BE"))))</x:f>
      </x:c>
      <x:c r="Q43" s="228" t="str">
        <x:f>IF(OR(O43="",L43="",M43="",L43=M43,D43=""),"",IF(D43="做多",(O43-L43)/ABS(L43-M43),(L43-O43)/ABS(L43-M43)))</x:f>
      </x:c>
      <x:c r="R43" s="98"/>
      <x:c r="S43" s="98"/>
      <x:c r="T43" s="217"/>
    </x:row>
    <x:row r="44">
      <x:c r="A44" s="214"/>
      <x:c r="B44" s="223"/>
      <x:c r="C44" s="98"/>
      <x:c r="D44" s="98"/>
      <x:c r="E44" s="98"/>
      <x:c r="F44" s="98"/>
      <x:c r="G44" s="98"/>
      <x:c r="H44" s="98"/>
      <x:c r="I44" s="98"/>
      <x:c r="J44" s="98"/>
      <x:c r="K44" s="98"/>
      <x:c r="L44" s="225"/>
      <x:c r="M44" s="225"/>
      <x:c r="N44" s="225"/>
      <x:c r="O44" s="225"/>
      <x:c r="P44" s="220" t="str">
        <x:f>IF(OR(O44="",L44="",D44=""),"",IF(D44="做多",IF(O44&gt;L44,"Win",IF(O44&lt;L44,"Loss","BE")),IF(O44&lt;L44,"Win",IF(O44&gt;L44,"Loss","BE"))))</x:f>
      </x:c>
      <x:c r="Q44" s="228" t="str">
        <x:f>IF(OR(O44="",L44="",M44="",L44=M44,D44=""),"",IF(D44="做多",(O44-L44)/ABS(L44-M44),(L44-O44)/ABS(L44-M44)))</x:f>
      </x:c>
      <x:c r="R44" s="98"/>
      <x:c r="S44" s="98"/>
      <x:c r="T44" s="217"/>
    </x:row>
    <x:row r="45">
      <x:c r="A45" s="214"/>
      <x:c r="B45" s="223"/>
      <x:c r="C45" s="98"/>
      <x:c r="D45" s="98"/>
      <x:c r="E45" s="98"/>
      <x:c r="F45" s="98"/>
      <x:c r="G45" s="98"/>
      <x:c r="H45" s="98"/>
      <x:c r="I45" s="98"/>
      <x:c r="J45" s="98"/>
      <x:c r="K45" s="98"/>
      <x:c r="L45" s="225"/>
      <x:c r="M45" s="225"/>
      <x:c r="N45" s="225"/>
      <x:c r="O45" s="225"/>
      <x:c r="P45" s="220" t="str">
        <x:f>IF(OR(O45="",L45="",D45=""),"",IF(D45="做多",IF(O45&gt;L45,"Win",IF(O45&lt;L45,"Loss","BE")),IF(O45&lt;L45,"Win",IF(O45&gt;L45,"Loss","BE"))))</x:f>
      </x:c>
      <x:c r="Q45" s="228" t="str">
        <x:f>IF(OR(O45="",L45="",M45="",L45=M45,D45=""),"",IF(D45="做多",(O45-L45)/ABS(L45-M45),(L45-O45)/ABS(L45-M45)))</x:f>
      </x:c>
      <x:c r="R45" s="98"/>
      <x:c r="S45" s="98"/>
      <x:c r="T45" s="217"/>
    </x:row>
    <x:row r="46">
      <x:c r="A46" s="214"/>
      <x:c r="B46" s="223"/>
      <x:c r="C46" s="98"/>
      <x:c r="D46" s="98"/>
      <x:c r="E46" s="98"/>
      <x:c r="F46" s="98"/>
      <x:c r="G46" s="98"/>
      <x:c r="H46" s="98"/>
      <x:c r="I46" s="98"/>
      <x:c r="J46" s="98"/>
      <x:c r="K46" s="98"/>
      <x:c r="L46" s="225"/>
      <x:c r="M46" s="225"/>
      <x:c r="N46" s="225"/>
      <x:c r="O46" s="225"/>
      <x:c r="P46" s="220" t="str">
        <x:f>IF(OR(O46="",L46="",D46=""),"",IF(D46="做多",IF(O46&gt;L46,"Win",IF(O46&lt;L46,"Loss","BE")),IF(O46&lt;L46,"Win",IF(O46&gt;L46,"Loss","BE"))))</x:f>
      </x:c>
      <x:c r="Q46" s="228" t="str">
        <x:f>IF(OR(O46="",L46="",M46="",L46=M46,D46=""),"",IF(D46="做多",(O46-L46)/ABS(L46-M46),(L46-O46)/ABS(L46-M46)))</x:f>
      </x:c>
      <x:c r="R46" s="98"/>
      <x:c r="S46" s="98"/>
      <x:c r="T46" s="217"/>
    </x:row>
    <x:row r="47">
      <x:c r="A47" s="214"/>
      <x:c r="B47" s="223"/>
      <x:c r="C47" s="98"/>
      <x:c r="D47" s="98"/>
      <x:c r="E47" s="98"/>
      <x:c r="F47" s="98"/>
      <x:c r="G47" s="98"/>
      <x:c r="H47" s="98"/>
      <x:c r="I47" s="98"/>
      <x:c r="J47" s="98"/>
      <x:c r="K47" s="98"/>
      <x:c r="L47" s="225"/>
      <x:c r="M47" s="225"/>
      <x:c r="N47" s="225"/>
      <x:c r="O47" s="225"/>
      <x:c r="P47" s="220" t="str">
        <x:f>IF(OR(O47="",L47="",D47=""),"",IF(D47="做多",IF(O47&gt;L47,"Win",IF(O47&lt;L47,"Loss","BE")),IF(O47&lt;L47,"Win",IF(O47&gt;L47,"Loss","BE"))))</x:f>
      </x:c>
      <x:c r="Q47" s="228" t="str">
        <x:f>IF(OR(O47="",L47="",M47="",L47=M47,D47=""),"",IF(D47="做多",(O47-L47)/ABS(L47-M47),(L47-O47)/ABS(L47-M47)))</x:f>
      </x:c>
      <x:c r="R47" s="98"/>
      <x:c r="S47" s="98"/>
      <x:c r="T47" s="217"/>
    </x:row>
    <x:row r="48">
      <x:c r="A48" s="214"/>
      <x:c r="B48" s="223"/>
      <x:c r="C48" s="98"/>
      <x:c r="D48" s="98"/>
      <x:c r="E48" s="98"/>
      <x:c r="F48" s="98"/>
      <x:c r="G48" s="98"/>
      <x:c r="H48" s="98"/>
      <x:c r="I48" s="98"/>
      <x:c r="J48" s="98"/>
      <x:c r="K48" s="98"/>
      <x:c r="L48" s="225"/>
      <x:c r="M48" s="225"/>
      <x:c r="N48" s="225"/>
      <x:c r="O48" s="225"/>
      <x:c r="P48" s="220" t="str">
        <x:f>IF(OR(O48="",L48="",D48=""),"",IF(D48="做多",IF(O48&gt;L48,"Win",IF(O48&lt;L48,"Loss","BE")),IF(O48&lt;L48,"Win",IF(O48&gt;L48,"Loss","BE"))))</x:f>
      </x:c>
      <x:c r="Q48" s="228" t="str">
        <x:f>IF(OR(O48="",L48="",M48="",L48=M48,D48=""),"",IF(D48="做多",(O48-L48)/ABS(L48-M48),(L48-O48)/ABS(L48-M48)))</x:f>
      </x:c>
      <x:c r="R48" s="98"/>
      <x:c r="S48" s="98"/>
      <x:c r="T48" s="217"/>
    </x:row>
    <x:row r="49">
      <x:c r="A49" s="214"/>
      <x:c r="B49" s="223"/>
      <x:c r="C49" s="98"/>
      <x:c r="D49" s="98"/>
      <x:c r="E49" s="98"/>
      <x:c r="F49" s="98"/>
      <x:c r="G49" s="98"/>
      <x:c r="H49" s="98"/>
      <x:c r="I49" s="98"/>
      <x:c r="J49" s="98"/>
      <x:c r="K49" s="98"/>
      <x:c r="L49" s="225"/>
      <x:c r="M49" s="225"/>
      <x:c r="N49" s="225"/>
      <x:c r="O49" s="225"/>
      <x:c r="P49" s="220" t="str">
        <x:f>IF(OR(O49="",L49="",D49=""),"",IF(D49="做多",IF(O49&gt;L49,"Win",IF(O49&lt;L49,"Loss","BE")),IF(O49&lt;L49,"Win",IF(O49&gt;L49,"Loss","BE"))))</x:f>
      </x:c>
      <x:c r="Q49" s="228" t="str">
        <x:f>IF(OR(O49="",L49="",M49="",L49=M49,D49=""),"",IF(D49="做多",(O49-L49)/ABS(L49-M49),(L49-O49)/ABS(L49-M49)))</x:f>
      </x:c>
      <x:c r="R49" s="98"/>
      <x:c r="S49" s="98"/>
      <x:c r="T49" s="217"/>
    </x:row>
    <x:row r="50">
      <x:c r="A50" s="214"/>
      <x:c r="B50" s="223"/>
      <x:c r="C50" s="98"/>
      <x:c r="D50" s="98"/>
      <x:c r="E50" s="98"/>
      <x:c r="F50" s="98"/>
      <x:c r="G50" s="98"/>
      <x:c r="H50" s="98"/>
      <x:c r="I50" s="98"/>
      <x:c r="J50" s="98"/>
      <x:c r="K50" s="98"/>
      <x:c r="L50" s="225"/>
      <x:c r="M50" s="225"/>
      <x:c r="N50" s="225"/>
      <x:c r="O50" s="225"/>
      <x:c r="P50" s="220" t="str">
        <x:f>IF(OR(O50="",L50="",D50=""),"",IF(D50="做多",IF(O50&gt;L50,"Win",IF(O50&lt;L50,"Loss","BE")),IF(O50&lt;L50,"Win",IF(O50&gt;L50,"Loss","BE"))))</x:f>
      </x:c>
      <x:c r="Q50" s="228" t="str">
        <x:f>IF(OR(O50="",L50="",M50="",L50=M50,D50=""),"",IF(D50="做多",(O50-L50)/ABS(L50-M50),(L50-O50)/ABS(L50-M50)))</x:f>
      </x:c>
      <x:c r="R50" s="98"/>
      <x:c r="S50" s="98"/>
      <x:c r="T50" s="217"/>
    </x:row>
    <x:row r="51">
      <x:c r="A51" s="214"/>
      <x:c r="B51" s="223"/>
      <x:c r="C51" s="98"/>
      <x:c r="D51" s="98"/>
      <x:c r="E51" s="98"/>
      <x:c r="F51" s="98"/>
      <x:c r="G51" s="98"/>
      <x:c r="H51" s="98"/>
      <x:c r="I51" s="98"/>
      <x:c r="J51" s="98"/>
      <x:c r="K51" s="98"/>
      <x:c r="L51" s="225"/>
      <x:c r="M51" s="225"/>
      <x:c r="N51" s="225"/>
      <x:c r="O51" s="225"/>
      <x:c r="P51" s="220" t="str">
        <x:f>IF(OR(O51="",L51="",D51=""),"",IF(D51="做多",IF(O51&gt;L51,"Win",IF(O51&lt;L51,"Loss","BE")),IF(O51&lt;L51,"Win",IF(O51&gt;L51,"Loss","BE"))))</x:f>
      </x:c>
      <x:c r="Q51" s="228" t="str">
        <x:f>IF(OR(O51="",L51="",M51="",L51=M51,D51=""),"",IF(D51="做多",(O51-L51)/ABS(L51-M51),(L51-O51)/ABS(L51-M51)))</x:f>
      </x:c>
      <x:c r="R51" s="98"/>
      <x:c r="S51" s="98"/>
      <x:c r="T51" s="217"/>
    </x:row>
    <x:row r="52">
      <x:c r="A52" s="214"/>
      <x:c r="B52" s="223"/>
      <x:c r="C52" s="98"/>
      <x:c r="D52" s="98"/>
      <x:c r="E52" s="98"/>
      <x:c r="F52" s="98"/>
      <x:c r="G52" s="98"/>
      <x:c r="H52" s="98"/>
      <x:c r="I52" s="98"/>
      <x:c r="J52" s="98"/>
      <x:c r="K52" s="98"/>
      <x:c r="L52" s="225"/>
      <x:c r="M52" s="225"/>
      <x:c r="N52" s="225"/>
      <x:c r="O52" s="225"/>
      <x:c r="P52" s="220" t="str">
        <x:f>IF(OR(O52="",L52="",D52=""),"",IF(D52="做多",IF(O52&gt;L52,"Win",IF(O52&lt;L52,"Loss","BE")),IF(O52&lt;L52,"Win",IF(O52&gt;L52,"Loss","BE"))))</x:f>
      </x:c>
      <x:c r="Q52" s="228" t="str">
        <x:f>IF(OR(O52="",L52="",M52="",L52=M52,D52=""),"",IF(D52="做多",(O52-L52)/ABS(L52-M52),(L52-O52)/ABS(L52-M52)))</x:f>
      </x:c>
      <x:c r="R52" s="98"/>
      <x:c r="S52" s="98"/>
      <x:c r="T52" s="217"/>
    </x:row>
    <x:row r="53">
      <x:c r="A53" s="214"/>
      <x:c r="B53" s="223"/>
      <x:c r="C53" s="98"/>
      <x:c r="D53" s="98"/>
      <x:c r="E53" s="98"/>
      <x:c r="F53" s="98"/>
      <x:c r="G53" s="98"/>
      <x:c r="H53" s="98"/>
      <x:c r="I53" s="98"/>
      <x:c r="J53" s="98"/>
      <x:c r="K53" s="98"/>
      <x:c r="L53" s="225"/>
      <x:c r="M53" s="225"/>
      <x:c r="N53" s="225"/>
      <x:c r="O53" s="225"/>
      <x:c r="P53" s="220" t="str">
        <x:f>IF(OR(O53="",L53="",D53=""),"",IF(D53="做多",IF(O53&gt;L53,"Win",IF(O53&lt;L53,"Loss","BE")),IF(O53&lt;L53,"Win",IF(O53&gt;L53,"Loss","BE"))))</x:f>
      </x:c>
      <x:c r="Q53" s="228" t="str">
        <x:f>IF(OR(O53="",L53="",M53="",L53=M53,D53=""),"",IF(D53="做多",(O53-L53)/ABS(L53-M53),(L53-O53)/ABS(L53-M53)))</x:f>
      </x:c>
      <x:c r="R53" s="98"/>
      <x:c r="S53" s="98"/>
      <x:c r="T53" s="217"/>
    </x:row>
    <x:row r="54">
      <x:c r="A54" s="214"/>
      <x:c r="B54" s="223"/>
      <x:c r="C54" s="98"/>
      <x:c r="D54" s="98"/>
      <x:c r="E54" s="98"/>
      <x:c r="F54" s="98"/>
      <x:c r="G54" s="98"/>
      <x:c r="H54" s="98"/>
      <x:c r="I54" s="98"/>
      <x:c r="J54" s="98"/>
      <x:c r="K54" s="98"/>
      <x:c r="L54" s="225"/>
      <x:c r="M54" s="225"/>
      <x:c r="N54" s="225"/>
      <x:c r="O54" s="225"/>
      <x:c r="P54" s="220" t="str">
        <x:f>IF(OR(O54="",L54="",D54=""),"",IF(D54="做多",IF(O54&gt;L54,"Win",IF(O54&lt;L54,"Loss","BE")),IF(O54&lt;L54,"Win",IF(O54&gt;L54,"Loss","BE"))))</x:f>
      </x:c>
      <x:c r="Q54" s="228" t="str">
        <x:f>IF(OR(O54="",L54="",M54="",L54=M54,D54=""),"",IF(D54="做多",(O54-L54)/ABS(L54-M54),(L54-O54)/ABS(L54-M54)))</x:f>
      </x:c>
      <x:c r="R54" s="98"/>
      <x:c r="S54" s="98"/>
      <x:c r="T54" s="217"/>
    </x:row>
    <x:row r="55">
      <x:c r="A55" s="214"/>
      <x:c r="B55" s="223"/>
      <x:c r="C55" s="98"/>
      <x:c r="D55" s="98"/>
      <x:c r="E55" s="98"/>
      <x:c r="F55" s="98"/>
      <x:c r="G55" s="98"/>
      <x:c r="H55" s="98"/>
      <x:c r="I55" s="98"/>
      <x:c r="J55" s="98"/>
      <x:c r="K55" s="98"/>
      <x:c r="L55" s="225"/>
      <x:c r="M55" s="225"/>
      <x:c r="N55" s="225"/>
      <x:c r="O55" s="225"/>
      <x:c r="P55" s="220" t="str">
        <x:f>IF(OR(O55="",L55="",D55=""),"",IF(D55="做多",IF(O55&gt;L55,"Win",IF(O55&lt;L55,"Loss","BE")),IF(O55&lt;L55,"Win",IF(O55&gt;L55,"Loss","BE"))))</x:f>
      </x:c>
      <x:c r="Q55" s="228" t="str">
        <x:f>IF(OR(O55="",L55="",M55="",L55=M55,D55=""),"",IF(D55="做多",(O55-L55)/ABS(L55-M55),(L55-O55)/ABS(L55-M55)))</x:f>
      </x:c>
      <x:c r="R55" s="98"/>
      <x:c r="S55" s="98"/>
      <x:c r="T55" s="217"/>
    </x:row>
    <x:row r="56">
      <x:c r="A56" s="214"/>
      <x:c r="B56" s="223"/>
      <x:c r="C56" s="98"/>
      <x:c r="D56" s="98"/>
      <x:c r="E56" s="98"/>
      <x:c r="F56" s="98"/>
      <x:c r="G56" s="98"/>
      <x:c r="H56" s="98"/>
      <x:c r="I56" s="98"/>
      <x:c r="J56" s="98"/>
      <x:c r="K56" s="98"/>
      <x:c r="L56" s="225"/>
      <x:c r="M56" s="225"/>
      <x:c r="N56" s="225"/>
      <x:c r="O56" s="225"/>
      <x:c r="P56" s="220" t="str">
        <x:f>IF(OR(O56="",L56="",D56=""),"",IF(D56="做多",IF(O56&gt;L56,"Win",IF(O56&lt;L56,"Loss","BE")),IF(O56&lt;L56,"Win",IF(O56&gt;L56,"Loss","BE"))))</x:f>
      </x:c>
      <x:c r="Q56" s="228" t="str">
        <x:f>IF(OR(O56="",L56="",M56="",L56=M56,D56=""),"",IF(D56="做多",(O56-L56)/ABS(L56-M56),(L56-O56)/ABS(L56-M56)))</x:f>
      </x:c>
      <x:c r="R56" s="98"/>
      <x:c r="S56" s="98"/>
      <x:c r="T56" s="217"/>
    </x:row>
    <x:row r="57">
      <x:c r="A57" s="214"/>
      <x:c r="B57" s="223"/>
      <x:c r="C57" s="98"/>
      <x:c r="D57" s="98"/>
      <x:c r="E57" s="98"/>
      <x:c r="F57" s="98"/>
      <x:c r="G57" s="98"/>
      <x:c r="H57" s="98"/>
      <x:c r="I57" s="98"/>
      <x:c r="J57" s="98"/>
      <x:c r="K57" s="98"/>
      <x:c r="L57" s="225"/>
      <x:c r="M57" s="225"/>
      <x:c r="N57" s="225"/>
      <x:c r="O57" s="225"/>
      <x:c r="P57" s="220" t="str">
        <x:f>IF(OR(O57="",L57="",D57=""),"",IF(D57="做多",IF(O57&gt;L57,"Win",IF(O57&lt;L57,"Loss","BE")),IF(O57&lt;L57,"Win",IF(O57&gt;L57,"Loss","BE"))))</x:f>
      </x:c>
      <x:c r="Q57" s="228" t="str">
        <x:f>IF(OR(O57="",L57="",M57="",L57=M57,D57=""),"",IF(D57="做多",(O57-L57)/ABS(L57-M57),(L57-O57)/ABS(L57-M57)))</x:f>
      </x:c>
      <x:c r="R57" s="98"/>
      <x:c r="S57" s="98"/>
      <x:c r="T57" s="217"/>
    </x:row>
    <x:row r="58">
      <x:c r="A58" s="214"/>
      <x:c r="B58" s="223"/>
      <x:c r="C58" s="98"/>
      <x:c r="D58" s="98"/>
      <x:c r="E58" s="98"/>
      <x:c r="F58" s="98"/>
      <x:c r="G58" s="98"/>
      <x:c r="H58" s="98"/>
      <x:c r="I58" s="98"/>
      <x:c r="J58" s="98"/>
      <x:c r="K58" s="98"/>
      <x:c r="L58" s="225"/>
      <x:c r="M58" s="225"/>
      <x:c r="N58" s="225"/>
      <x:c r="O58" s="225"/>
      <x:c r="P58" s="220" t="str">
        <x:f>IF(OR(O58="",L58="",D58=""),"",IF(D58="做多",IF(O58&gt;L58,"Win",IF(O58&lt;L58,"Loss","BE")),IF(O58&lt;L58,"Win",IF(O58&gt;L58,"Loss","BE"))))</x:f>
      </x:c>
      <x:c r="Q58" s="228" t="str">
        <x:f>IF(OR(O58="",L58="",M58="",L58=M58,D58=""),"",IF(D58="做多",(O58-L58)/ABS(L58-M58),(L58-O58)/ABS(L58-M58)))</x:f>
      </x:c>
      <x:c r="R58" s="98"/>
      <x:c r="S58" s="98"/>
      <x:c r="T58" s="217"/>
    </x:row>
    <x:row r="59">
      <x:c r="A59" s="214"/>
      <x:c r="B59" s="223"/>
      <x:c r="C59" s="98"/>
      <x:c r="D59" s="98"/>
      <x:c r="E59" s="98"/>
      <x:c r="F59" s="98"/>
      <x:c r="G59" s="98"/>
      <x:c r="H59" s="98"/>
      <x:c r="I59" s="98"/>
      <x:c r="J59" s="98"/>
      <x:c r="K59" s="98"/>
      <x:c r="L59" s="225"/>
      <x:c r="M59" s="225"/>
      <x:c r="N59" s="225"/>
      <x:c r="O59" s="225"/>
      <x:c r="P59" s="220" t="str">
        <x:f>IF(OR(O59="",L59="",D59=""),"",IF(D59="做多",IF(O59&gt;L59,"Win",IF(O59&lt;L59,"Loss","BE")),IF(O59&lt;L59,"Win",IF(O59&gt;L59,"Loss","BE"))))</x:f>
      </x:c>
      <x:c r="Q59" s="228" t="str">
        <x:f>IF(OR(O59="",L59="",M59="",L59=M59,D59=""),"",IF(D59="做多",(O59-L59)/ABS(L59-M59),(L59-O59)/ABS(L59-M59)))</x:f>
      </x:c>
      <x:c r="R59" s="98"/>
      <x:c r="S59" s="98"/>
      <x:c r="T59" s="217"/>
    </x:row>
    <x:row r="60">
      <x:c r="A60" s="214"/>
      <x:c r="B60" s="223"/>
      <x:c r="C60" s="98"/>
      <x:c r="D60" s="98"/>
      <x:c r="E60" s="98"/>
      <x:c r="F60" s="98"/>
      <x:c r="G60" s="98"/>
      <x:c r="H60" s="98"/>
      <x:c r="I60" s="98"/>
      <x:c r="J60" s="98"/>
      <x:c r="K60" s="98"/>
      <x:c r="L60" s="225"/>
      <x:c r="M60" s="225"/>
      <x:c r="N60" s="225"/>
      <x:c r="O60" s="225"/>
      <x:c r="P60" s="220" t="str">
        <x:f>IF(OR(O60="",L60="",D60=""),"",IF(D60="做多",IF(O60&gt;L60,"Win",IF(O60&lt;L60,"Loss","BE")),IF(O60&lt;L60,"Win",IF(O60&gt;L60,"Loss","BE"))))</x:f>
      </x:c>
      <x:c r="Q60" s="228" t="str">
        <x:f>IF(OR(O60="",L60="",M60="",L60=M60,D60=""),"",IF(D60="做多",(O60-L60)/ABS(L60-M60),(L60-O60)/ABS(L60-M60)))</x:f>
      </x:c>
      <x:c r="R60" s="98"/>
      <x:c r="S60" s="98"/>
      <x:c r="T60" s="217"/>
    </x:row>
    <x:row r="61">
      <x:c r="A61" s="214"/>
      <x:c r="B61" s="223"/>
      <x:c r="C61" s="98"/>
      <x:c r="D61" s="98"/>
      <x:c r="E61" s="98"/>
      <x:c r="F61" s="98"/>
      <x:c r="G61" s="98"/>
      <x:c r="H61" s="98"/>
      <x:c r="I61" s="98"/>
      <x:c r="J61" s="98"/>
      <x:c r="K61" s="98"/>
      <x:c r="L61" s="225"/>
      <x:c r="M61" s="225"/>
      <x:c r="N61" s="225"/>
      <x:c r="O61" s="225"/>
      <x:c r="P61" s="220" t="str">
        <x:f>IF(OR(O61="",L61="",D61=""),"",IF(D61="做多",IF(O61&gt;L61,"Win",IF(O61&lt;L61,"Loss","BE")),IF(O61&lt;L61,"Win",IF(O61&gt;L61,"Loss","BE"))))</x:f>
      </x:c>
      <x:c r="Q61" s="228" t="str">
        <x:f>IF(OR(O61="",L61="",M61="",L61=M61,D61=""),"",IF(D61="做多",(O61-L61)/ABS(L61-M61),(L61-O61)/ABS(L61-M61)))</x:f>
      </x:c>
      <x:c r="R61" s="98"/>
      <x:c r="S61" s="98"/>
      <x:c r="T61" s="217"/>
    </x:row>
    <x:row r="62">
      <x:c r="A62" s="214"/>
      <x:c r="B62" s="223"/>
      <x:c r="C62" s="98"/>
      <x:c r="D62" s="98"/>
      <x:c r="E62" s="98"/>
      <x:c r="F62" s="98"/>
      <x:c r="G62" s="98"/>
      <x:c r="H62" s="98"/>
      <x:c r="I62" s="98"/>
      <x:c r="J62" s="98"/>
      <x:c r="K62" s="98"/>
      <x:c r="L62" s="225"/>
      <x:c r="M62" s="225"/>
      <x:c r="N62" s="225"/>
      <x:c r="O62" s="225"/>
      <x:c r="P62" s="220" t="str">
        <x:f>IF(OR(O62="",L62="",D62=""),"",IF(D62="做多",IF(O62&gt;L62,"Win",IF(O62&lt;L62,"Loss","BE")),IF(O62&lt;L62,"Win",IF(O62&gt;L62,"Loss","BE"))))</x:f>
      </x:c>
      <x:c r="Q62" s="228" t="str">
        <x:f>IF(OR(O62="",L62="",M62="",L62=M62,D62=""),"",IF(D62="做多",(O62-L62)/ABS(L62-M62),(L62-O62)/ABS(L62-M62)))</x:f>
      </x:c>
      <x:c r="R62" s="98"/>
      <x:c r="S62" s="98"/>
      <x:c r="T62" s="217"/>
    </x:row>
    <x:row r="63">
      <x:c r="A63" s="214"/>
      <x:c r="B63" s="223"/>
      <x:c r="C63" s="98"/>
      <x:c r="D63" s="98"/>
      <x:c r="E63" s="98"/>
      <x:c r="F63" s="98"/>
      <x:c r="G63" s="98"/>
      <x:c r="H63" s="98"/>
      <x:c r="I63" s="98"/>
      <x:c r="J63" s="98"/>
      <x:c r="K63" s="98"/>
      <x:c r="L63" s="225"/>
      <x:c r="M63" s="225"/>
      <x:c r="N63" s="225"/>
      <x:c r="O63" s="225"/>
      <x:c r="P63" s="220" t="str">
        <x:f>IF(OR(O63="",L63="",D63=""),"",IF(D63="做多",IF(O63&gt;L63,"Win",IF(O63&lt;L63,"Loss","BE")),IF(O63&lt;L63,"Win",IF(O63&gt;L63,"Loss","BE"))))</x:f>
      </x:c>
      <x:c r="Q63" s="228" t="str">
        <x:f>IF(OR(O63="",L63="",M63="",L63=M63,D63=""),"",IF(D63="做多",(O63-L63)/ABS(L63-M63),(L63-O63)/ABS(L63-M63)))</x:f>
      </x:c>
      <x:c r="R63" s="98"/>
      <x:c r="S63" s="98"/>
      <x:c r="T63" s="217"/>
    </x:row>
    <x:row r="64">
      <x:c r="A64" s="214"/>
      <x:c r="B64" s="223"/>
      <x:c r="C64" s="98"/>
      <x:c r="D64" s="98"/>
      <x:c r="E64" s="98"/>
      <x:c r="F64" s="98"/>
      <x:c r="G64" s="98"/>
      <x:c r="H64" s="98"/>
      <x:c r="I64" s="98"/>
      <x:c r="J64" s="98"/>
      <x:c r="K64" s="98"/>
      <x:c r="L64" s="225"/>
      <x:c r="M64" s="225"/>
      <x:c r="N64" s="225"/>
      <x:c r="O64" s="225"/>
      <x:c r="P64" s="220" t="str">
        <x:f>IF(OR(O64="",L64="",D64=""),"",IF(D64="做多",IF(O64&gt;L64,"Win",IF(O64&lt;L64,"Loss","BE")),IF(O64&lt;L64,"Win",IF(O64&gt;L64,"Loss","BE"))))</x:f>
      </x:c>
      <x:c r="Q64" s="228" t="str">
        <x:f>IF(OR(O64="",L64="",M64="",L64=M64,D64=""),"",IF(D64="做多",(O64-L64)/ABS(L64-M64),(L64-O64)/ABS(L64-M64)))</x:f>
      </x:c>
      <x:c r="R64" s="98"/>
      <x:c r="S64" s="98"/>
      <x:c r="T64" s="217"/>
    </x:row>
    <x:row r="65">
      <x:c r="A65" s="214"/>
      <x:c r="B65" s="223"/>
      <x:c r="C65" s="98"/>
      <x:c r="D65" s="98"/>
      <x:c r="E65" s="98"/>
      <x:c r="F65" s="98"/>
      <x:c r="G65" s="98"/>
      <x:c r="H65" s="98"/>
      <x:c r="I65" s="98"/>
      <x:c r="J65" s="98"/>
      <x:c r="K65" s="98"/>
      <x:c r="L65" s="225"/>
      <x:c r="M65" s="225"/>
      <x:c r="N65" s="225"/>
      <x:c r="O65" s="225"/>
      <x:c r="P65" s="220" t="str">
        <x:f>IF(OR(O65="",L65="",D65=""),"",IF(D65="做多",IF(O65&gt;L65,"Win",IF(O65&lt;L65,"Loss","BE")),IF(O65&lt;L65,"Win",IF(O65&gt;L65,"Loss","BE"))))</x:f>
      </x:c>
      <x:c r="Q65" s="228" t="str">
        <x:f>IF(OR(O65="",L65="",M65="",L65=M65,D65=""),"",IF(D65="做多",(O65-L65)/ABS(L65-M65),(L65-O65)/ABS(L65-M65)))</x:f>
      </x:c>
      <x:c r="R65" s="98"/>
      <x:c r="S65" s="98"/>
      <x:c r="T65" s="217"/>
    </x:row>
    <x:row r="66">
      <x:c r="A66" s="214"/>
      <x:c r="B66" s="223"/>
      <x:c r="C66" s="98"/>
      <x:c r="D66" s="98"/>
      <x:c r="E66" s="98"/>
      <x:c r="F66" s="98"/>
      <x:c r="G66" s="98"/>
      <x:c r="H66" s="98"/>
      <x:c r="I66" s="98"/>
      <x:c r="J66" s="98"/>
      <x:c r="K66" s="98"/>
      <x:c r="L66" s="225"/>
      <x:c r="M66" s="225"/>
      <x:c r="N66" s="225"/>
      <x:c r="O66" s="225"/>
      <x:c r="P66" s="220" t="str">
        <x:f>IF(OR(O66="",L66="",D66=""),"",IF(D66="做多",IF(O66&gt;L66,"Win",IF(O66&lt;L66,"Loss","BE")),IF(O66&lt;L66,"Win",IF(O66&gt;L66,"Loss","BE"))))</x:f>
      </x:c>
      <x:c r="Q66" s="228" t="str">
        <x:f>IF(OR(O66="",L66="",M66="",L66=M66,D66=""),"",IF(D66="做多",(O66-L66)/ABS(L66-M66),(L66-O66)/ABS(L66-M66)))</x:f>
      </x:c>
      <x:c r="R66" s="98"/>
      <x:c r="S66" s="98"/>
      <x:c r="T66" s="217"/>
    </x:row>
    <x:row r="67">
      <x:c r="A67" s="214"/>
      <x:c r="B67" s="223"/>
      <x:c r="C67" s="98"/>
      <x:c r="D67" s="98"/>
      <x:c r="E67" s="98"/>
      <x:c r="F67" s="98"/>
      <x:c r="G67" s="98"/>
      <x:c r="H67" s="98"/>
      <x:c r="I67" s="98"/>
      <x:c r="J67" s="98"/>
      <x:c r="K67" s="98"/>
      <x:c r="L67" s="225"/>
      <x:c r="M67" s="225"/>
      <x:c r="N67" s="225"/>
      <x:c r="O67" s="225"/>
      <x:c r="P67" s="220" t="str">
        <x:f>IF(OR(O67="",L67="",D67=""),"",IF(D67="做多",IF(O67&gt;L67,"Win",IF(O67&lt;L67,"Loss","BE")),IF(O67&lt;L67,"Win",IF(O67&gt;L67,"Loss","BE"))))</x:f>
      </x:c>
      <x:c r="Q67" s="228" t="str">
        <x:f>IF(OR(O67="",L67="",M67="",L67=M67,D67=""),"",IF(D67="做多",(O67-L67)/ABS(L67-M67),(L67-O67)/ABS(L67-M67)))</x:f>
      </x:c>
      <x:c r="R67" s="98"/>
      <x:c r="S67" s="98"/>
      <x:c r="T67" s="217"/>
    </x:row>
    <x:row r="68">
      <x:c r="A68" s="214"/>
      <x:c r="B68" s="223"/>
      <x:c r="C68" s="98"/>
      <x:c r="D68" s="98"/>
      <x:c r="E68" s="98"/>
      <x:c r="F68" s="98"/>
      <x:c r="G68" s="98"/>
      <x:c r="H68" s="98"/>
      <x:c r="I68" s="98"/>
      <x:c r="J68" s="98"/>
      <x:c r="K68" s="98"/>
      <x:c r="L68" s="225"/>
      <x:c r="M68" s="225"/>
      <x:c r="N68" s="225"/>
      <x:c r="O68" s="225"/>
      <x:c r="P68" s="220" t="str">
        <x:f>IF(OR(O68="",L68="",D68=""),"",IF(D68="做多",IF(O68&gt;L68,"Win",IF(O68&lt;L68,"Loss","BE")),IF(O68&lt;L68,"Win",IF(O68&gt;L68,"Loss","BE"))))</x:f>
      </x:c>
      <x:c r="Q68" s="228" t="str">
        <x:f>IF(OR(O68="",L68="",M68="",L68=M68,D68=""),"",IF(D68="做多",(O68-L68)/ABS(L68-M68),(L68-O68)/ABS(L68-M68)))</x:f>
      </x:c>
      <x:c r="R68" s="98"/>
      <x:c r="S68" s="98"/>
      <x:c r="T68" s="217"/>
    </x:row>
    <x:row r="69">
      <x:c r="A69" s="214"/>
      <x:c r="B69" s="223"/>
      <x:c r="C69" s="98"/>
      <x:c r="D69" s="98"/>
      <x:c r="E69" s="98"/>
      <x:c r="F69" s="98"/>
      <x:c r="G69" s="98"/>
      <x:c r="H69" s="98"/>
      <x:c r="I69" s="98"/>
      <x:c r="J69" s="98"/>
      <x:c r="K69" s="98"/>
      <x:c r="L69" s="225"/>
      <x:c r="M69" s="225"/>
      <x:c r="N69" s="225"/>
      <x:c r="O69" s="225"/>
      <x:c r="P69" s="220" t="str">
        <x:f>IF(OR(O69="",L69="",D69=""),"",IF(D69="做多",IF(O69&gt;L69,"Win",IF(O69&lt;L69,"Loss","BE")),IF(O69&lt;L69,"Win",IF(O69&gt;L69,"Loss","BE"))))</x:f>
      </x:c>
      <x:c r="Q69" s="228" t="str">
        <x:f>IF(OR(O69="",L69="",M69="",L69=M69,D69=""),"",IF(D69="做多",(O69-L69)/ABS(L69-M69),(L69-O69)/ABS(L69-M69)))</x:f>
      </x:c>
      <x:c r="R69" s="98"/>
      <x:c r="S69" s="98"/>
      <x:c r="T69" s="217"/>
    </x:row>
    <x:row r="70">
      <x:c r="A70" s="214"/>
      <x:c r="B70" s="223"/>
      <x:c r="C70" s="98"/>
      <x:c r="D70" s="98"/>
      <x:c r="E70" s="98"/>
      <x:c r="F70" s="98"/>
      <x:c r="G70" s="98"/>
      <x:c r="H70" s="98"/>
      <x:c r="I70" s="98"/>
      <x:c r="J70" s="98"/>
      <x:c r="K70" s="98"/>
      <x:c r="L70" s="225"/>
      <x:c r="M70" s="225"/>
      <x:c r="N70" s="225"/>
      <x:c r="O70" s="225"/>
      <x:c r="P70" s="220" t="str">
        <x:f>IF(OR(O70="",L70="",D70=""),"",IF(D70="做多",IF(O70&gt;L70,"Win",IF(O70&lt;L70,"Loss","BE")),IF(O70&lt;L70,"Win",IF(O70&gt;L70,"Loss","BE"))))</x:f>
      </x:c>
      <x:c r="Q70" s="228" t="str">
        <x:f>IF(OR(O70="",L70="",M70="",L70=M70,D70=""),"",IF(D70="做多",(O70-L70)/ABS(L70-M70),(L70-O70)/ABS(L70-M70)))</x:f>
      </x:c>
      <x:c r="R70" s="98"/>
      <x:c r="S70" s="98"/>
      <x:c r="T70" s="217"/>
    </x:row>
    <x:row r="71">
      <x:c r="A71" s="214"/>
      <x:c r="B71" s="223"/>
      <x:c r="C71" s="98"/>
      <x:c r="D71" s="98"/>
      <x:c r="E71" s="98"/>
      <x:c r="F71" s="98"/>
      <x:c r="G71" s="98"/>
      <x:c r="H71" s="98"/>
      <x:c r="I71" s="98"/>
      <x:c r="J71" s="98"/>
      <x:c r="K71" s="98"/>
      <x:c r="L71" s="225"/>
      <x:c r="M71" s="225"/>
      <x:c r="N71" s="225"/>
      <x:c r="O71" s="225"/>
      <x:c r="P71" s="220" t="str">
        <x:f>IF(OR(O71="",L71="",D71=""),"",IF(D71="做多",IF(O71&gt;L71,"Win",IF(O71&lt;L71,"Loss","BE")),IF(O71&lt;L71,"Win",IF(O71&gt;L71,"Loss","BE"))))</x:f>
      </x:c>
      <x:c r="Q71" s="228" t="str">
        <x:f>IF(OR(O71="",L71="",M71="",L71=M71,D71=""),"",IF(D71="做多",(O71-L71)/ABS(L71-M71),(L71-O71)/ABS(L71-M71)))</x:f>
      </x:c>
      <x:c r="R71" s="98"/>
      <x:c r="S71" s="98"/>
      <x:c r="T71" s="217"/>
    </x:row>
    <x:row r="72">
      <x:c r="A72" s="214"/>
      <x:c r="B72" s="223"/>
      <x:c r="C72" s="98"/>
      <x:c r="D72" s="98"/>
      <x:c r="E72" s="98"/>
      <x:c r="F72" s="98"/>
      <x:c r="G72" s="98"/>
      <x:c r="H72" s="98"/>
      <x:c r="I72" s="98"/>
      <x:c r="J72" s="98"/>
      <x:c r="K72" s="98"/>
      <x:c r="L72" s="225"/>
      <x:c r="M72" s="225"/>
      <x:c r="N72" s="225"/>
      <x:c r="O72" s="225"/>
      <x:c r="P72" s="220" t="str">
        <x:f>IF(OR(O72="",L72="",D72=""),"",IF(D72="做多",IF(O72&gt;L72,"Win",IF(O72&lt;L72,"Loss","BE")),IF(O72&lt;L72,"Win",IF(O72&gt;L72,"Loss","BE"))))</x:f>
      </x:c>
      <x:c r="Q72" s="228" t="str">
        <x:f>IF(OR(O72="",L72="",M72="",L72=M72,D72=""),"",IF(D72="做多",(O72-L72)/ABS(L72-M72),(L72-O72)/ABS(L72-M72)))</x:f>
      </x:c>
      <x:c r="R72" s="98"/>
      <x:c r="S72" s="98"/>
      <x:c r="T72" s="217"/>
    </x:row>
    <x:row r="73">
      <x:c r="A73" s="214"/>
      <x:c r="B73" s="223"/>
      <x:c r="C73" s="98"/>
      <x:c r="D73" s="98"/>
      <x:c r="E73" s="98"/>
      <x:c r="F73" s="98"/>
      <x:c r="G73" s="98"/>
      <x:c r="H73" s="98"/>
      <x:c r="I73" s="98"/>
      <x:c r="J73" s="98"/>
      <x:c r="K73" s="98"/>
      <x:c r="L73" s="225"/>
      <x:c r="M73" s="225"/>
      <x:c r="N73" s="225"/>
      <x:c r="O73" s="225"/>
      <x:c r="P73" s="220" t="str">
        <x:f>IF(OR(O73="",L73="",D73=""),"",IF(D73="做多",IF(O73&gt;L73,"Win",IF(O73&lt;L73,"Loss","BE")),IF(O73&lt;L73,"Win",IF(O73&gt;L73,"Loss","BE"))))</x:f>
      </x:c>
      <x:c r="Q73" s="228" t="str">
        <x:f>IF(OR(O73="",L73="",M73="",L73=M73,D73=""),"",IF(D73="做多",(O73-L73)/ABS(L73-M73),(L73-O73)/ABS(L73-M73)))</x:f>
      </x:c>
      <x:c r="R73" s="98"/>
      <x:c r="S73" s="98"/>
      <x:c r="T73" s="217"/>
    </x:row>
    <x:row r="74">
      <x:c r="A74" s="214"/>
      <x:c r="B74" s="223"/>
      <x:c r="C74" s="98"/>
      <x:c r="D74" s="98"/>
      <x:c r="E74" s="98"/>
      <x:c r="F74" s="98"/>
      <x:c r="G74" s="98"/>
      <x:c r="H74" s="98"/>
      <x:c r="I74" s="98"/>
      <x:c r="J74" s="98"/>
      <x:c r="K74" s="98"/>
      <x:c r="L74" s="225"/>
      <x:c r="M74" s="225"/>
      <x:c r="N74" s="225"/>
      <x:c r="O74" s="225"/>
      <x:c r="P74" s="220" t="str">
        <x:f>IF(OR(O74="",L74="",D74=""),"",IF(D74="做多",IF(O74&gt;L74,"Win",IF(O74&lt;L74,"Loss","BE")),IF(O74&lt;L74,"Win",IF(O74&gt;L74,"Loss","BE"))))</x:f>
      </x:c>
      <x:c r="Q74" s="228" t="str">
        <x:f>IF(OR(O74="",L74="",M74="",L74=M74,D74=""),"",IF(D74="做多",(O74-L74)/ABS(L74-M74),(L74-O74)/ABS(L74-M74)))</x:f>
      </x:c>
      <x:c r="R74" s="98"/>
      <x:c r="S74" s="98"/>
      <x:c r="T74" s="217"/>
    </x:row>
    <x:row r="75">
      <x:c r="A75" s="214"/>
      <x:c r="B75" s="223"/>
      <x:c r="C75" s="98"/>
      <x:c r="D75" s="98"/>
      <x:c r="E75" s="98"/>
      <x:c r="F75" s="98"/>
      <x:c r="G75" s="98"/>
      <x:c r="H75" s="98"/>
      <x:c r="I75" s="98"/>
      <x:c r="J75" s="98"/>
      <x:c r="K75" s="98"/>
      <x:c r="L75" s="225"/>
      <x:c r="M75" s="225"/>
      <x:c r="N75" s="225"/>
      <x:c r="O75" s="225"/>
      <x:c r="P75" s="220" t="str">
        <x:f>IF(OR(O75="",L75="",D75=""),"",IF(D75="做多",IF(O75&gt;L75,"Win",IF(O75&lt;L75,"Loss","BE")),IF(O75&lt;L75,"Win",IF(O75&gt;L75,"Loss","BE"))))</x:f>
      </x:c>
      <x:c r="Q75" s="228" t="str">
        <x:f>IF(OR(O75="",L75="",M75="",L75=M75,D75=""),"",IF(D75="做多",(O75-L75)/ABS(L75-M75),(L75-O75)/ABS(L75-M75)))</x:f>
      </x:c>
      <x:c r="R75" s="98"/>
      <x:c r="S75" s="98"/>
      <x:c r="T75" s="217"/>
    </x:row>
    <x:row r="76">
      <x:c r="A76" s="214"/>
      <x:c r="B76" s="223"/>
      <x:c r="C76" s="98"/>
      <x:c r="D76" s="98"/>
      <x:c r="E76" s="98"/>
      <x:c r="F76" s="98"/>
      <x:c r="G76" s="98"/>
      <x:c r="H76" s="98"/>
      <x:c r="I76" s="98"/>
      <x:c r="J76" s="98"/>
      <x:c r="K76" s="98"/>
      <x:c r="L76" s="225"/>
      <x:c r="M76" s="225"/>
      <x:c r="N76" s="225"/>
      <x:c r="O76" s="225"/>
      <x:c r="P76" s="220" t="str">
        <x:f>IF(OR(O76="",L76="",D76=""),"",IF(D76="做多",IF(O76&gt;L76,"Win",IF(O76&lt;L76,"Loss","BE")),IF(O76&lt;L76,"Win",IF(O76&gt;L76,"Loss","BE"))))</x:f>
      </x:c>
      <x:c r="Q76" s="228" t="str">
        <x:f>IF(OR(O76="",L76="",M76="",L76=M76,D76=""),"",IF(D76="做多",(O76-L76)/ABS(L76-M76),(L76-O76)/ABS(L76-M76)))</x:f>
      </x:c>
      <x:c r="R76" s="98"/>
      <x:c r="S76" s="98"/>
      <x:c r="T76" s="217"/>
    </x:row>
    <x:row r="77">
      <x:c r="A77" s="214"/>
      <x:c r="B77" s="223"/>
      <x:c r="C77" s="98"/>
      <x:c r="D77" s="98"/>
      <x:c r="E77" s="98"/>
      <x:c r="F77" s="98"/>
      <x:c r="G77" s="98"/>
      <x:c r="H77" s="98"/>
      <x:c r="I77" s="98"/>
      <x:c r="J77" s="98"/>
      <x:c r="K77" s="98"/>
      <x:c r="L77" s="225"/>
      <x:c r="M77" s="225"/>
      <x:c r="N77" s="225"/>
      <x:c r="O77" s="225"/>
      <x:c r="P77" s="220" t="str">
        <x:f>IF(OR(O77="",L77="",D77=""),"",IF(D77="做多",IF(O77&gt;L77,"Win",IF(O77&lt;L77,"Loss","BE")),IF(O77&lt;L77,"Win",IF(O77&gt;L77,"Loss","BE"))))</x:f>
      </x:c>
      <x:c r="Q77" s="228" t="str">
        <x:f>IF(OR(O77="",L77="",M77="",L77=M77,D77=""),"",IF(D77="做多",(O77-L77)/ABS(L77-M77),(L77-O77)/ABS(L77-M77)))</x:f>
      </x:c>
      <x:c r="R77" s="98"/>
      <x:c r="S77" s="98"/>
      <x:c r="T77" s="217"/>
    </x:row>
    <x:row r="78">
      <x:c r="A78" s="214"/>
      <x:c r="B78" s="223"/>
      <x:c r="C78" s="98"/>
      <x:c r="D78" s="98"/>
      <x:c r="E78" s="98"/>
      <x:c r="F78" s="98"/>
      <x:c r="G78" s="98"/>
      <x:c r="H78" s="98"/>
      <x:c r="I78" s="98"/>
      <x:c r="J78" s="98"/>
      <x:c r="K78" s="98"/>
      <x:c r="L78" s="225"/>
      <x:c r="M78" s="225"/>
      <x:c r="N78" s="225"/>
      <x:c r="O78" s="225"/>
      <x:c r="P78" s="220" t="str">
        <x:f>IF(OR(O78="",L78="",D78=""),"",IF(D78="做多",IF(O78&gt;L78,"Win",IF(O78&lt;L78,"Loss","BE")),IF(O78&lt;L78,"Win",IF(O78&gt;L78,"Loss","BE"))))</x:f>
      </x:c>
      <x:c r="Q78" s="228" t="str">
        <x:f>IF(OR(O78="",L78="",M78="",L78=M78,D78=""),"",IF(D78="做多",(O78-L78)/ABS(L78-M78),(L78-O78)/ABS(L78-M78)))</x:f>
      </x:c>
      <x:c r="R78" s="98"/>
      <x:c r="S78" s="98"/>
      <x:c r="T78" s="217"/>
    </x:row>
    <x:row r="79">
      <x:c r="A79" s="214"/>
      <x:c r="B79" s="223"/>
      <x:c r="C79" s="98"/>
      <x:c r="D79" s="98"/>
      <x:c r="E79" s="98"/>
      <x:c r="F79" s="98"/>
      <x:c r="G79" s="98"/>
      <x:c r="H79" s="98"/>
      <x:c r="I79" s="98"/>
      <x:c r="J79" s="98"/>
      <x:c r="K79" s="98"/>
      <x:c r="L79" s="225"/>
      <x:c r="M79" s="225"/>
      <x:c r="N79" s="225"/>
      <x:c r="O79" s="225"/>
      <x:c r="P79" s="220" t="str">
        <x:f>IF(OR(O79="",L79="",D79=""),"",IF(D79="做多",IF(O79&gt;L79,"Win",IF(O79&lt;L79,"Loss","BE")),IF(O79&lt;L79,"Win",IF(O79&gt;L79,"Loss","BE"))))</x:f>
      </x:c>
      <x:c r="Q79" s="228" t="str">
        <x:f>IF(OR(O79="",L79="",M79="",L79=M79,D79=""),"",IF(D79="做多",(O79-L79)/ABS(L79-M79),(L79-O79)/ABS(L79-M79)))</x:f>
      </x:c>
      <x:c r="R79" s="98"/>
      <x:c r="S79" s="98"/>
      <x:c r="T79" s="217"/>
    </x:row>
    <x:row r="80">
      <x:c r="A80" s="214"/>
      <x:c r="B80" s="223"/>
      <x:c r="C80" s="98"/>
      <x:c r="D80" s="98"/>
      <x:c r="E80" s="98"/>
      <x:c r="F80" s="98"/>
      <x:c r="G80" s="98"/>
      <x:c r="H80" s="98"/>
      <x:c r="I80" s="98"/>
      <x:c r="J80" s="98"/>
      <x:c r="K80" s="98"/>
      <x:c r="L80" s="225"/>
      <x:c r="M80" s="225"/>
      <x:c r="N80" s="225"/>
      <x:c r="O80" s="225"/>
      <x:c r="P80" s="220" t="str">
        <x:f>IF(OR(O80="",L80="",D80=""),"",IF(D80="做多",IF(O80&gt;L80,"Win",IF(O80&lt;L80,"Loss","BE")),IF(O80&lt;L80,"Win",IF(O80&gt;L80,"Loss","BE"))))</x:f>
      </x:c>
      <x:c r="Q80" s="228" t="str">
        <x:f>IF(OR(O80="",L80="",M80="",L80=M80,D80=""),"",IF(D80="做多",(O80-L80)/ABS(L80-M80),(L80-O80)/ABS(L80-M80)))</x:f>
      </x:c>
      <x:c r="R80" s="98"/>
      <x:c r="S80" s="98"/>
      <x:c r="T80" s="217"/>
    </x:row>
    <x:row r="81">
      <x:c r="A81" s="214"/>
      <x:c r="B81" s="223"/>
      <x:c r="C81" s="98"/>
      <x:c r="D81" s="98"/>
      <x:c r="E81" s="98"/>
      <x:c r="F81" s="98"/>
      <x:c r="G81" s="98"/>
      <x:c r="H81" s="98"/>
      <x:c r="I81" s="98"/>
      <x:c r="J81" s="98"/>
      <x:c r="K81" s="98"/>
      <x:c r="L81" s="225"/>
      <x:c r="M81" s="225"/>
      <x:c r="N81" s="225"/>
      <x:c r="O81" s="225"/>
      <x:c r="P81" s="220" t="str">
        <x:f>IF(OR(O81="",L81="",D81=""),"",IF(D81="做多",IF(O81&gt;L81,"Win",IF(O81&lt;L81,"Loss","BE")),IF(O81&lt;L81,"Win",IF(O81&gt;L81,"Loss","BE"))))</x:f>
      </x:c>
      <x:c r="Q81" s="228" t="str">
        <x:f>IF(OR(O81="",L81="",M81="",L81=M81,D81=""),"",IF(D81="做多",(O81-L81)/ABS(L81-M81),(L81-O81)/ABS(L81-M81)))</x:f>
      </x:c>
      <x:c r="R81" s="98"/>
      <x:c r="S81" s="98"/>
      <x:c r="T81" s="217"/>
    </x:row>
    <x:row r="82">
      <x:c r="A82" s="214"/>
      <x:c r="B82" s="223"/>
      <x:c r="C82" s="98"/>
      <x:c r="D82" s="98"/>
      <x:c r="E82" s="98"/>
      <x:c r="F82" s="98"/>
      <x:c r="G82" s="98"/>
      <x:c r="H82" s="98"/>
      <x:c r="I82" s="98"/>
      <x:c r="J82" s="98"/>
      <x:c r="K82" s="98"/>
      <x:c r="L82" s="225"/>
      <x:c r="M82" s="225"/>
      <x:c r="N82" s="225"/>
      <x:c r="O82" s="225"/>
      <x:c r="P82" s="220" t="str">
        <x:f>IF(OR(O82="",L82="",D82=""),"",IF(D82="做多",IF(O82&gt;L82,"Win",IF(O82&lt;L82,"Loss","BE")),IF(O82&lt;L82,"Win",IF(O82&gt;L82,"Loss","BE"))))</x:f>
      </x:c>
      <x:c r="Q82" s="228" t="str">
        <x:f>IF(OR(O82="",L82="",M82="",L82=M82,D82=""),"",IF(D82="做多",(O82-L82)/ABS(L82-M82),(L82-O82)/ABS(L82-M82)))</x:f>
      </x:c>
      <x:c r="R82" s="98"/>
      <x:c r="S82" s="98"/>
      <x:c r="T82" s="217"/>
    </x:row>
    <x:row r="83">
      <x:c r="A83" s="214"/>
      <x:c r="B83" s="223"/>
      <x:c r="C83" s="98"/>
      <x:c r="D83" s="98"/>
      <x:c r="E83" s="98"/>
      <x:c r="F83" s="98"/>
      <x:c r="G83" s="98"/>
      <x:c r="H83" s="98"/>
      <x:c r="I83" s="98"/>
      <x:c r="J83" s="98"/>
      <x:c r="K83" s="98"/>
      <x:c r="L83" s="225"/>
      <x:c r="M83" s="225"/>
      <x:c r="N83" s="225"/>
      <x:c r="O83" s="225"/>
      <x:c r="P83" s="220" t="str">
        <x:f>IF(OR(O83="",L83="",D83=""),"",IF(D83="做多",IF(O83&gt;L83,"Win",IF(O83&lt;L83,"Loss","BE")),IF(O83&lt;L83,"Win",IF(O83&gt;L83,"Loss","BE"))))</x:f>
      </x:c>
      <x:c r="Q83" s="228" t="str">
        <x:f>IF(OR(O83="",L83="",M83="",L83=M83,D83=""),"",IF(D83="做多",(O83-L83)/ABS(L83-M83),(L83-O83)/ABS(L83-M83)))</x:f>
      </x:c>
      <x:c r="R83" s="98"/>
      <x:c r="S83" s="98"/>
      <x:c r="T83" s="217"/>
    </x:row>
    <x:row r="84">
      <x:c r="A84" s="214"/>
      <x:c r="B84" s="223"/>
      <x:c r="C84" s="98"/>
      <x:c r="D84" s="98"/>
      <x:c r="E84" s="98"/>
      <x:c r="F84" s="98"/>
      <x:c r="G84" s="98"/>
      <x:c r="H84" s="98"/>
      <x:c r="I84" s="98"/>
      <x:c r="J84" s="98"/>
      <x:c r="K84" s="98"/>
      <x:c r="L84" s="225"/>
      <x:c r="M84" s="225"/>
      <x:c r="N84" s="225"/>
      <x:c r="O84" s="225"/>
      <x:c r="P84" s="220" t="str">
        <x:f>IF(OR(O84="",L84="",D84=""),"",IF(D84="做多",IF(O84&gt;L84,"Win",IF(O84&lt;L84,"Loss","BE")),IF(O84&lt;L84,"Win",IF(O84&gt;L84,"Loss","BE"))))</x:f>
      </x:c>
      <x:c r="Q84" s="228" t="str">
        <x:f>IF(OR(O84="",L84="",M84="",L84=M84,D84=""),"",IF(D84="做多",(O84-L84)/ABS(L84-M84),(L84-O84)/ABS(L84-M84)))</x:f>
      </x:c>
      <x:c r="R84" s="98"/>
      <x:c r="S84" s="98"/>
      <x:c r="T84" s="217"/>
    </x:row>
    <x:row r="85">
      <x:c r="A85" s="214"/>
      <x:c r="B85" s="223"/>
      <x:c r="C85" s="98"/>
      <x:c r="D85" s="98"/>
      <x:c r="E85" s="98"/>
      <x:c r="F85" s="98"/>
      <x:c r="G85" s="98"/>
      <x:c r="H85" s="98"/>
      <x:c r="I85" s="98"/>
      <x:c r="J85" s="98"/>
      <x:c r="K85" s="98"/>
      <x:c r="L85" s="225"/>
      <x:c r="M85" s="225"/>
      <x:c r="N85" s="225"/>
      <x:c r="O85" s="225"/>
      <x:c r="P85" s="220" t="str">
        <x:f>IF(OR(O85="",L85="",D85=""),"",IF(D85="做多",IF(O85&gt;L85,"Win",IF(O85&lt;L85,"Loss","BE")),IF(O85&lt;L85,"Win",IF(O85&gt;L85,"Loss","BE"))))</x:f>
      </x:c>
      <x:c r="Q85" s="228" t="str">
        <x:f>IF(OR(O85="",L85="",M85="",L85=M85,D85=""),"",IF(D85="做多",(O85-L85)/ABS(L85-M85),(L85-O85)/ABS(L85-M85)))</x:f>
      </x:c>
      <x:c r="R85" s="98"/>
      <x:c r="S85" s="98"/>
      <x:c r="T85" s="217"/>
    </x:row>
    <x:row r="86">
      <x:c r="A86" s="214"/>
      <x:c r="B86" s="223"/>
      <x:c r="C86" s="98"/>
      <x:c r="D86" s="98"/>
      <x:c r="E86" s="98"/>
      <x:c r="F86" s="98"/>
      <x:c r="G86" s="98"/>
      <x:c r="H86" s="98"/>
      <x:c r="I86" s="98"/>
      <x:c r="J86" s="98"/>
      <x:c r="K86" s="98"/>
      <x:c r="L86" s="225"/>
      <x:c r="M86" s="225"/>
      <x:c r="N86" s="225"/>
      <x:c r="O86" s="225"/>
      <x:c r="P86" s="220" t="str">
        <x:f>IF(OR(O86="",L86="",D86=""),"",IF(D86="做多",IF(O86&gt;L86,"Win",IF(O86&lt;L86,"Loss","BE")),IF(O86&lt;L86,"Win",IF(O86&gt;L86,"Loss","BE"))))</x:f>
      </x:c>
      <x:c r="Q86" s="228" t="str">
        <x:f>IF(OR(O86="",L86="",M86="",L86=M86,D86=""),"",IF(D86="做多",(O86-L86)/ABS(L86-M86),(L86-O86)/ABS(L86-M86)))</x:f>
      </x:c>
      <x:c r="R86" s="98"/>
      <x:c r="S86" s="98"/>
      <x:c r="T86" s="217"/>
    </x:row>
    <x:row r="87">
      <x:c r="A87" s="214"/>
      <x:c r="B87" s="223"/>
      <x:c r="C87" s="98"/>
      <x:c r="D87" s="98"/>
      <x:c r="E87" s="98"/>
      <x:c r="F87" s="98"/>
      <x:c r="G87" s="98"/>
      <x:c r="H87" s="98"/>
      <x:c r="I87" s="98"/>
      <x:c r="J87" s="98"/>
      <x:c r="K87" s="98"/>
      <x:c r="L87" s="225"/>
      <x:c r="M87" s="225"/>
      <x:c r="N87" s="225"/>
      <x:c r="O87" s="225"/>
      <x:c r="P87" s="220" t="str">
        <x:f>IF(OR(O87="",L87="",D87=""),"",IF(D87="做多",IF(O87&gt;L87,"Win",IF(O87&lt;L87,"Loss","BE")),IF(O87&lt;L87,"Win",IF(O87&gt;L87,"Loss","BE"))))</x:f>
      </x:c>
      <x:c r="Q87" s="228" t="str">
        <x:f>IF(OR(O87="",L87="",M87="",L87=M87,D87=""),"",IF(D87="做多",(O87-L87)/ABS(L87-M87),(L87-O87)/ABS(L87-M87)))</x:f>
      </x:c>
      <x:c r="R87" s="98"/>
      <x:c r="S87" s="98"/>
      <x:c r="T87" s="217"/>
    </x:row>
    <x:row r="88">
      <x:c r="A88" s="214"/>
      <x:c r="B88" s="223"/>
      <x:c r="C88" s="98"/>
      <x:c r="D88" s="98"/>
      <x:c r="E88" s="98"/>
      <x:c r="F88" s="98"/>
      <x:c r="G88" s="98"/>
      <x:c r="H88" s="98"/>
      <x:c r="I88" s="98"/>
      <x:c r="J88" s="98"/>
      <x:c r="K88" s="98"/>
      <x:c r="L88" s="225"/>
      <x:c r="M88" s="225"/>
      <x:c r="N88" s="225"/>
      <x:c r="O88" s="225"/>
      <x:c r="P88" s="220" t="str">
        <x:f>IF(OR(O88="",L88="",D88=""),"",IF(D88="做多",IF(O88&gt;L88,"Win",IF(O88&lt;L88,"Loss","BE")),IF(O88&lt;L88,"Win",IF(O88&gt;L88,"Loss","BE"))))</x:f>
      </x:c>
      <x:c r="Q88" s="228" t="str">
        <x:f>IF(OR(O88="",L88="",M88="",L88=M88,D88=""),"",IF(D88="做多",(O88-L88)/ABS(L88-M88),(L88-O88)/ABS(L88-M88)))</x:f>
      </x:c>
      <x:c r="R88" s="98"/>
      <x:c r="S88" s="98"/>
      <x:c r="T88" s="217"/>
    </x:row>
    <x:row r="89">
      <x:c r="A89" s="214"/>
      <x:c r="B89" s="223"/>
      <x:c r="C89" s="98"/>
      <x:c r="D89" s="98"/>
      <x:c r="E89" s="98"/>
      <x:c r="F89" s="98"/>
      <x:c r="G89" s="98"/>
      <x:c r="H89" s="98"/>
      <x:c r="I89" s="98"/>
      <x:c r="J89" s="98"/>
      <x:c r="K89" s="98"/>
      <x:c r="L89" s="225"/>
      <x:c r="M89" s="225"/>
      <x:c r="N89" s="225"/>
      <x:c r="O89" s="225"/>
      <x:c r="P89" s="220" t="str">
        <x:f>IF(OR(O89="",L89="",D89=""),"",IF(D89="做多",IF(O89&gt;L89,"Win",IF(O89&lt;L89,"Loss","BE")),IF(O89&lt;L89,"Win",IF(O89&gt;L89,"Loss","BE"))))</x:f>
      </x:c>
      <x:c r="Q89" s="228" t="str">
        <x:f>IF(OR(O89="",L89="",M89="",L89=M89,D89=""),"",IF(D89="做多",(O89-L89)/ABS(L89-M89),(L89-O89)/ABS(L89-M89)))</x:f>
      </x:c>
      <x:c r="R89" s="98"/>
      <x:c r="S89" s="98"/>
      <x:c r="T89" s="217"/>
    </x:row>
    <x:row r="90">
      <x:c r="A90" s="214"/>
      <x:c r="B90" s="223"/>
      <x:c r="C90" s="98"/>
      <x:c r="D90" s="98"/>
      <x:c r="E90" s="98"/>
      <x:c r="F90" s="98"/>
      <x:c r="G90" s="98"/>
      <x:c r="H90" s="98"/>
      <x:c r="I90" s="98"/>
      <x:c r="J90" s="98"/>
      <x:c r="K90" s="98"/>
      <x:c r="L90" s="225"/>
      <x:c r="M90" s="225"/>
      <x:c r="N90" s="225"/>
      <x:c r="O90" s="225"/>
      <x:c r="P90" s="220" t="str">
        <x:f>IF(OR(O90="",L90="",D90=""),"",IF(D90="做多",IF(O90&gt;L90,"Win",IF(O90&lt;L90,"Loss","BE")),IF(O90&lt;L90,"Win",IF(O90&gt;L90,"Loss","BE"))))</x:f>
      </x:c>
      <x:c r="Q90" s="228" t="str">
        <x:f>IF(OR(O90="",L90="",M90="",L90=M90,D90=""),"",IF(D90="做多",(O90-L90)/ABS(L90-M90),(L90-O90)/ABS(L90-M90)))</x:f>
      </x:c>
      <x:c r="R90" s="98"/>
      <x:c r="S90" s="98"/>
      <x:c r="T90" s="217"/>
    </x:row>
    <x:row r="91">
      <x:c r="A91" s="214"/>
      <x:c r="B91" s="223"/>
      <x:c r="C91" s="98"/>
      <x:c r="D91" s="98"/>
      <x:c r="E91" s="98"/>
      <x:c r="F91" s="98"/>
      <x:c r="G91" s="98"/>
      <x:c r="H91" s="98"/>
      <x:c r="I91" s="98"/>
      <x:c r="J91" s="98"/>
      <x:c r="K91" s="98"/>
      <x:c r="L91" s="225"/>
      <x:c r="M91" s="225"/>
      <x:c r="N91" s="225"/>
      <x:c r="O91" s="225"/>
      <x:c r="P91" s="220" t="str">
        <x:f>IF(OR(O91="",L91="",D91=""),"",IF(D91="做多",IF(O91&gt;L91,"Win",IF(O91&lt;L91,"Loss","BE")),IF(O91&lt;L91,"Win",IF(O91&gt;L91,"Loss","BE"))))</x:f>
      </x:c>
      <x:c r="Q91" s="228" t="str">
        <x:f>IF(OR(O91="",L91="",M91="",L91=M91,D91=""),"",IF(D91="做多",(O91-L91)/ABS(L91-M91),(L91-O91)/ABS(L91-M91)))</x:f>
      </x:c>
      <x:c r="R91" s="98"/>
      <x:c r="S91" s="98"/>
      <x:c r="T91" s="217"/>
    </x:row>
    <x:row r="92">
      <x:c r="A92" s="214"/>
      <x:c r="B92" s="223"/>
      <x:c r="C92" s="98"/>
      <x:c r="D92" s="98"/>
      <x:c r="E92" s="98"/>
      <x:c r="F92" s="98"/>
      <x:c r="G92" s="98"/>
      <x:c r="H92" s="98"/>
      <x:c r="I92" s="98"/>
      <x:c r="J92" s="98"/>
      <x:c r="K92" s="98"/>
      <x:c r="L92" s="225"/>
      <x:c r="M92" s="225"/>
      <x:c r="N92" s="225"/>
      <x:c r="O92" s="225"/>
      <x:c r="P92" s="220" t="str">
        <x:f>IF(OR(O92="",L92="",D92=""),"",IF(D92="做多",IF(O92&gt;L92,"Win",IF(O92&lt;L92,"Loss","BE")),IF(O92&lt;L92,"Win",IF(O92&gt;L92,"Loss","BE"))))</x:f>
      </x:c>
      <x:c r="Q92" s="228" t="str">
        <x:f>IF(OR(O92="",L92="",M92="",L92=M92,D92=""),"",IF(D92="做多",(O92-L92)/ABS(L92-M92),(L92-O92)/ABS(L92-M92)))</x:f>
      </x:c>
      <x:c r="R92" s="98"/>
      <x:c r="S92" s="98"/>
      <x:c r="T92" s="217"/>
    </x:row>
    <x:row r="93">
      <x:c r="A93" s="214"/>
      <x:c r="B93" s="223"/>
      <x:c r="C93" s="98"/>
      <x:c r="D93" s="98"/>
      <x:c r="E93" s="98"/>
      <x:c r="F93" s="98"/>
      <x:c r="G93" s="98"/>
      <x:c r="H93" s="98"/>
      <x:c r="I93" s="98"/>
      <x:c r="J93" s="98"/>
      <x:c r="K93" s="98"/>
      <x:c r="L93" s="225"/>
      <x:c r="M93" s="225"/>
      <x:c r="N93" s="225"/>
      <x:c r="O93" s="225"/>
      <x:c r="P93" s="220" t="str">
        <x:f>IF(OR(O93="",L93="",D93=""),"",IF(D93="做多",IF(O93&gt;L93,"Win",IF(O93&lt;L93,"Loss","BE")),IF(O93&lt;L93,"Win",IF(O93&gt;L93,"Loss","BE"))))</x:f>
      </x:c>
      <x:c r="Q93" s="228" t="str">
        <x:f>IF(OR(O93="",L93="",M93="",L93=M93,D93=""),"",IF(D93="做多",(O93-L93)/ABS(L93-M93),(L93-O93)/ABS(L93-M93)))</x:f>
      </x:c>
      <x:c r="R93" s="98"/>
      <x:c r="S93" s="98"/>
      <x:c r="T93" s="217"/>
    </x:row>
    <x:row r="94">
      <x:c r="A94" s="214"/>
      <x:c r="B94" s="223"/>
      <x:c r="C94" s="98"/>
      <x:c r="D94" s="98"/>
      <x:c r="E94" s="98"/>
      <x:c r="F94" s="98"/>
      <x:c r="G94" s="98"/>
      <x:c r="H94" s="98"/>
      <x:c r="I94" s="98"/>
      <x:c r="J94" s="98"/>
      <x:c r="K94" s="98"/>
      <x:c r="L94" s="225"/>
      <x:c r="M94" s="225"/>
      <x:c r="N94" s="225"/>
      <x:c r="O94" s="225"/>
      <x:c r="P94" s="220" t="str">
        <x:f>IF(OR(O94="",L94="",D94=""),"",IF(D94="做多",IF(O94&gt;L94,"Win",IF(O94&lt;L94,"Loss","BE")),IF(O94&lt;L94,"Win",IF(O94&gt;L94,"Loss","BE"))))</x:f>
      </x:c>
      <x:c r="Q94" s="228" t="str">
        <x:f>IF(OR(O94="",L94="",M94="",L94=M94,D94=""),"",IF(D94="做多",(O94-L94)/ABS(L94-M94),(L94-O94)/ABS(L94-M94)))</x:f>
      </x:c>
      <x:c r="R94" s="98"/>
      <x:c r="S94" s="98"/>
      <x:c r="T94" s="217"/>
    </x:row>
    <x:row r="95">
      <x:c r="A95" s="214"/>
      <x:c r="B95" s="223"/>
      <x:c r="C95" s="98"/>
      <x:c r="D95" s="98"/>
      <x:c r="E95" s="98"/>
      <x:c r="F95" s="98"/>
      <x:c r="G95" s="98"/>
      <x:c r="H95" s="98"/>
      <x:c r="I95" s="98"/>
      <x:c r="J95" s="98"/>
      <x:c r="K95" s="98"/>
      <x:c r="L95" s="225"/>
      <x:c r="M95" s="225"/>
      <x:c r="N95" s="225"/>
      <x:c r="O95" s="225"/>
      <x:c r="P95" s="220" t="str">
        <x:f>IF(OR(O95="",L95="",D95=""),"",IF(D95="做多",IF(O95&gt;L95,"Win",IF(O95&lt;L95,"Loss","BE")),IF(O95&lt;L95,"Win",IF(O95&gt;L95,"Loss","BE"))))</x:f>
      </x:c>
      <x:c r="Q95" s="228" t="str">
        <x:f>IF(OR(O95="",L95="",M95="",L95=M95,D95=""),"",IF(D95="做多",(O95-L95)/ABS(L95-M95),(L95-O95)/ABS(L95-M95)))</x:f>
      </x:c>
      <x:c r="R95" s="98"/>
      <x:c r="S95" s="98"/>
      <x:c r="T95" s="217"/>
    </x:row>
    <x:row r="96">
      <x:c r="A96" s="214"/>
      <x:c r="B96" s="223"/>
      <x:c r="C96" s="98"/>
      <x:c r="D96" s="98"/>
      <x:c r="E96" s="98"/>
      <x:c r="F96" s="98"/>
      <x:c r="G96" s="98"/>
      <x:c r="H96" s="98"/>
      <x:c r="I96" s="98"/>
      <x:c r="J96" s="98"/>
      <x:c r="K96" s="98"/>
      <x:c r="L96" s="225"/>
      <x:c r="M96" s="225"/>
      <x:c r="N96" s="225"/>
      <x:c r="O96" s="225"/>
      <x:c r="P96" s="220" t="str">
        <x:f>IF(OR(O96="",L96="",D96=""),"",IF(D96="做多",IF(O96&gt;L96,"Win",IF(O96&lt;L96,"Loss","BE")),IF(O96&lt;L96,"Win",IF(O96&gt;L96,"Loss","BE"))))</x:f>
      </x:c>
      <x:c r="Q96" s="228" t="str">
        <x:f>IF(OR(O96="",L96="",M96="",L96=M96,D96=""),"",IF(D96="做多",(O96-L96)/ABS(L96-M96),(L96-O96)/ABS(L96-M96)))</x:f>
      </x:c>
      <x:c r="R96" s="98"/>
      <x:c r="S96" s="98"/>
      <x:c r="T96" s="217"/>
    </x:row>
    <x:row r="97">
      <x:c r="A97" s="214"/>
      <x:c r="B97" s="223"/>
      <x:c r="C97" s="98"/>
      <x:c r="D97" s="98"/>
      <x:c r="E97" s="98"/>
      <x:c r="F97" s="98"/>
      <x:c r="G97" s="98"/>
      <x:c r="H97" s="98"/>
      <x:c r="I97" s="98"/>
      <x:c r="J97" s="98"/>
      <x:c r="K97" s="98"/>
      <x:c r="L97" s="225"/>
      <x:c r="M97" s="225"/>
      <x:c r="N97" s="225"/>
      <x:c r="O97" s="225"/>
      <x:c r="P97" s="220" t="str">
        <x:f>IF(OR(O97="",L97="",D97=""),"",IF(D97="做多",IF(O97&gt;L97,"Win",IF(O97&lt;L97,"Loss","BE")),IF(O97&lt;L97,"Win",IF(O97&gt;L97,"Loss","BE"))))</x:f>
      </x:c>
      <x:c r="Q97" s="228" t="str">
        <x:f>IF(OR(O97="",L97="",M97="",L97=M97,D97=""),"",IF(D97="做多",(O97-L97)/ABS(L97-M97),(L97-O97)/ABS(L97-M97)))</x:f>
      </x:c>
      <x:c r="R97" s="98"/>
      <x:c r="S97" s="98"/>
      <x:c r="T97" s="217"/>
    </x:row>
    <x:row r="98">
      <x:c r="A98" s="214"/>
      <x:c r="B98" s="223"/>
      <x:c r="C98" s="98"/>
      <x:c r="D98" s="98"/>
      <x:c r="E98" s="98"/>
      <x:c r="F98" s="98"/>
      <x:c r="G98" s="98"/>
      <x:c r="H98" s="98"/>
      <x:c r="I98" s="98"/>
      <x:c r="J98" s="98"/>
      <x:c r="K98" s="98"/>
      <x:c r="L98" s="225"/>
      <x:c r="M98" s="225"/>
      <x:c r="N98" s="225"/>
      <x:c r="O98" s="225"/>
      <x:c r="P98" s="220" t="str">
        <x:f>IF(OR(O98="",L98="",D98=""),"",IF(D98="做多",IF(O98&gt;L98,"Win",IF(O98&lt;L98,"Loss","BE")),IF(O98&lt;L98,"Win",IF(O98&gt;L98,"Loss","BE"))))</x:f>
      </x:c>
      <x:c r="Q98" s="228" t="str">
        <x:f>IF(OR(O98="",L98="",M98="",L98=M98,D98=""),"",IF(D98="做多",(O98-L98)/ABS(L98-M98),(L98-O98)/ABS(L98-M98)))</x:f>
      </x:c>
      <x:c r="R98" s="98"/>
      <x:c r="S98" s="98"/>
      <x:c r="T98" s="217"/>
    </x:row>
    <x:row r="99">
      <x:c r="A99" s="214"/>
      <x:c r="B99" s="223"/>
      <x:c r="C99" s="98"/>
      <x:c r="D99" s="98"/>
      <x:c r="E99" s="98"/>
      <x:c r="F99" s="98"/>
      <x:c r="G99" s="98"/>
      <x:c r="H99" s="98"/>
      <x:c r="I99" s="98"/>
      <x:c r="J99" s="98"/>
      <x:c r="K99" s="98"/>
      <x:c r="L99" s="225"/>
      <x:c r="M99" s="225"/>
      <x:c r="N99" s="225"/>
      <x:c r="O99" s="225"/>
      <x:c r="P99" s="220" t="str">
        <x:f>IF(OR(O99="",L99="",D99=""),"",IF(D99="做多",IF(O99&gt;L99,"Win",IF(O99&lt;L99,"Loss","BE")),IF(O99&lt;L99,"Win",IF(O99&gt;L99,"Loss","BE"))))</x:f>
      </x:c>
      <x:c r="Q99" s="228" t="str">
        <x:f>IF(OR(O99="",L99="",M99="",L99=M99,D99=""),"",IF(D99="做多",(O99-L99)/ABS(L99-M99),(L99-O99)/ABS(L99-M99)))</x:f>
      </x:c>
      <x:c r="R99" s="98"/>
      <x:c r="S99" s="98"/>
      <x:c r="T99" s="217"/>
    </x:row>
    <x:row r="100">
      <x:c r="A100" s="214"/>
      <x:c r="B100" s="223"/>
      <x:c r="C100" s="98"/>
      <x:c r="D100" s="98"/>
      <x:c r="E100" s="98"/>
      <x:c r="F100" s="98"/>
      <x:c r="G100" s="98"/>
      <x:c r="H100" s="98"/>
      <x:c r="I100" s="98"/>
      <x:c r="J100" s="98"/>
      <x:c r="K100" s="98"/>
      <x:c r="L100" s="225"/>
      <x:c r="M100" s="225"/>
      <x:c r="N100" s="225"/>
      <x:c r="O100" s="225"/>
      <x:c r="P100" s="220" t="str">
        <x:f>IF(OR(O100="",L100="",D100=""),"",IF(D100="做多",IF(O100&gt;L100,"Win",IF(O100&lt;L100,"Loss","BE")),IF(O100&lt;L100,"Win",IF(O100&gt;L100,"Loss","BE"))))</x:f>
      </x:c>
      <x:c r="Q100" s="228" t="str">
        <x:f>IF(OR(O100="",L100="",M100="",L100=M100,D100=""),"",IF(D100="做多",(O100-L100)/ABS(L100-M100),(L100-O100)/ABS(L100-M100)))</x:f>
      </x:c>
      <x:c r="R100" s="98"/>
      <x:c r="S100" s="98"/>
      <x:c r="T100" s="217"/>
    </x:row>
    <x:row r="101">
      <x:c r="A101" s="214"/>
      <x:c r="B101" s="223"/>
      <x:c r="C101" s="98"/>
      <x:c r="D101" s="98"/>
      <x:c r="E101" s="98"/>
      <x:c r="F101" s="98"/>
      <x:c r="G101" s="98"/>
      <x:c r="H101" s="98"/>
      <x:c r="I101" s="98"/>
      <x:c r="J101" s="98"/>
      <x:c r="K101" s="98"/>
      <x:c r="L101" s="225"/>
      <x:c r="M101" s="225"/>
      <x:c r="N101" s="225"/>
      <x:c r="O101" s="225"/>
      <x:c r="P101" s="220" t="str">
        <x:f>IF(OR(O101="",L101="",D101=""),"",IF(D101="做多",IF(O101&gt;L101,"Win",IF(O101&lt;L101,"Loss","BE")),IF(O101&lt;L101,"Win",IF(O101&gt;L101,"Loss","BE"))))</x:f>
      </x:c>
      <x:c r="Q101" s="228" t="str">
        <x:f>IF(OR(O101="",L101="",M101="",L101=M101,D101=""),"",IF(D101="做多",(O101-L101)/ABS(L101-M101),(L101-O101)/ABS(L101-M101)))</x:f>
      </x:c>
      <x:c r="R101" s="98"/>
      <x:c r="S101" s="98"/>
      <x:c r="T101" s="217"/>
    </x:row>
    <x:row r="102">
      <x:c r="A102" s="214"/>
      <x:c r="B102" s="223"/>
      <x:c r="C102" s="98"/>
      <x:c r="D102" s="98"/>
      <x:c r="E102" s="98"/>
      <x:c r="F102" s="98"/>
      <x:c r="G102" s="98"/>
      <x:c r="H102" s="98"/>
      <x:c r="I102" s="98"/>
      <x:c r="J102" s="98"/>
      <x:c r="K102" s="98"/>
      <x:c r="L102" s="225"/>
      <x:c r="M102" s="225"/>
      <x:c r="N102" s="225"/>
      <x:c r="O102" s="225"/>
      <x:c r="P102" s="220" t="str">
        <x:f>IF(OR(O102="",L102="",D102=""),"",IF(D102="做多",IF(O102&gt;L102,"Win",IF(O102&lt;L102,"Loss","BE")),IF(O102&lt;L102,"Win",IF(O102&gt;L102,"Loss","BE"))))</x:f>
      </x:c>
      <x:c r="Q102" s="228" t="str">
        <x:f>IF(OR(O102="",L102="",M102="",L102=M102,D102=""),"",IF(D102="做多",(O102-L102)/ABS(L102-M102),(L102-O102)/ABS(L102-M102)))</x:f>
      </x:c>
      <x:c r="R102" s="98"/>
      <x:c r="S102" s="98"/>
      <x:c r="T102" s="217"/>
    </x:row>
    <x:row r="103">
      <x:c r="A103" s="214"/>
      <x:c r="B103" s="223"/>
      <x:c r="C103" s="98"/>
      <x:c r="D103" s="98"/>
      <x:c r="E103" s="98"/>
      <x:c r="F103" s="98"/>
      <x:c r="G103" s="98"/>
      <x:c r="H103" s="98"/>
      <x:c r="I103" s="98"/>
      <x:c r="J103" s="98"/>
      <x:c r="K103" s="98"/>
      <x:c r="L103" s="225"/>
      <x:c r="M103" s="225"/>
      <x:c r="N103" s="225"/>
      <x:c r="O103" s="225"/>
      <x:c r="P103" s="220" t="str">
        <x:f>IF(OR(O103="",L103="",D103=""),"",IF(D103="做多",IF(O103&gt;L103,"Win",IF(O103&lt;L103,"Loss","BE")),IF(O103&lt;L103,"Win",IF(O103&gt;L103,"Loss","BE"))))</x:f>
      </x:c>
      <x:c r="Q103" s="228" t="str">
        <x:f>IF(OR(O103="",L103="",M103="",L103=M103,D103=""),"",IF(D103="做多",(O103-L103)/ABS(L103-M103),(L103-O103)/ABS(L103-M103)))</x:f>
      </x:c>
      <x:c r="R103" s="98"/>
      <x:c r="S103" s="98"/>
      <x:c r="T103" s="217"/>
    </x:row>
    <x:row r="104">
      <x:c r="A104" s="214"/>
      <x:c r="B104" s="223"/>
      <x:c r="C104" s="98"/>
      <x:c r="D104" s="98"/>
      <x:c r="E104" s="98"/>
      <x:c r="F104" s="98"/>
      <x:c r="G104" s="98"/>
      <x:c r="H104" s="98"/>
      <x:c r="I104" s="98"/>
      <x:c r="J104" s="98"/>
      <x:c r="K104" s="98"/>
      <x:c r="L104" s="225"/>
      <x:c r="M104" s="225"/>
      <x:c r="N104" s="225"/>
      <x:c r="O104" s="225"/>
      <x:c r="P104" s="220" t="str">
        <x:f>IF(OR(O104="",L104="",D104=""),"",IF(D104="做多",IF(O104&gt;L104,"Win",IF(O104&lt;L104,"Loss","BE")),IF(O104&lt;L104,"Win",IF(O104&gt;L104,"Loss","BE"))))</x:f>
      </x:c>
      <x:c r="Q104" s="228" t="str">
        <x:f>IF(OR(O104="",L104="",M104="",L104=M104,D104=""),"",IF(D104="做多",(O104-L104)/ABS(L104-M104),(L104-O104)/ABS(L104-M104)))</x:f>
      </x:c>
      <x:c r="R104" s="98"/>
      <x:c r="S104" s="98"/>
      <x:c r="T104" s="217"/>
    </x:row>
    <x:row r="105">
      <x:c r="A105" s="214"/>
      <x:c r="B105" s="223"/>
      <x:c r="C105" s="98"/>
      <x:c r="D105" s="98"/>
      <x:c r="E105" s="98"/>
      <x:c r="F105" s="98"/>
      <x:c r="G105" s="98"/>
      <x:c r="H105" s="98"/>
      <x:c r="I105" s="98"/>
      <x:c r="J105" s="98"/>
      <x:c r="K105" s="98"/>
      <x:c r="L105" s="225"/>
      <x:c r="M105" s="225"/>
      <x:c r="N105" s="225"/>
      <x:c r="O105" s="225"/>
      <x:c r="P105" s="220" t="str">
        <x:f>IF(OR(O105="",L105="",D105=""),"",IF(D105="做多",IF(O105&gt;L105,"Win",IF(O105&lt;L105,"Loss","BE")),IF(O105&lt;L105,"Win",IF(O105&gt;L105,"Loss","BE"))))</x:f>
      </x:c>
      <x:c r="Q105" s="228" t="str">
        <x:f>IF(OR(O105="",L105="",M105="",L105=M105,D105=""),"",IF(D105="做多",(O105-L105)/ABS(L105-M105),(L105-O105)/ABS(L105-M105)))</x:f>
      </x:c>
      <x:c r="R105" s="98"/>
      <x:c r="S105" s="98"/>
      <x:c r="T105" s="217"/>
    </x:row>
    <x:row r="106">
      <x:c r="A106" s="214"/>
      <x:c r="B106" s="223"/>
      <x:c r="C106" s="98"/>
      <x:c r="D106" s="98"/>
      <x:c r="E106" s="98"/>
      <x:c r="F106" s="98"/>
      <x:c r="G106" s="98"/>
      <x:c r="H106" s="98"/>
      <x:c r="I106" s="98"/>
      <x:c r="J106" s="98"/>
      <x:c r="K106" s="98"/>
      <x:c r="L106" s="225"/>
      <x:c r="M106" s="225"/>
      <x:c r="N106" s="225"/>
      <x:c r="O106" s="225"/>
      <x:c r="P106" s="220" t="str">
        <x:f>IF(OR(O106="",L106="",D106=""),"",IF(D106="做多",IF(O106&gt;L106,"Win",IF(O106&lt;L106,"Loss","BE")),IF(O106&lt;L106,"Win",IF(O106&gt;L106,"Loss","BE"))))</x:f>
      </x:c>
      <x:c r="Q106" s="228" t="str">
        <x:f>IF(OR(O106="",L106="",M106="",L106=M106,D106=""),"",IF(D106="做多",(O106-L106)/ABS(L106-M106),(L106-O106)/ABS(L106-M106)))</x:f>
      </x:c>
      <x:c r="R106" s="98"/>
      <x:c r="S106" s="98"/>
      <x:c r="T106" s="217"/>
    </x:row>
    <x:row r="107">
      <x:c r="A107" s="214"/>
      <x:c r="B107" s="223"/>
      <x:c r="C107" s="98"/>
      <x:c r="D107" s="98"/>
      <x:c r="E107" s="98"/>
      <x:c r="F107" s="98"/>
      <x:c r="G107" s="98"/>
      <x:c r="H107" s="98"/>
      <x:c r="I107" s="98"/>
      <x:c r="J107" s="98"/>
      <x:c r="K107" s="98"/>
      <x:c r="L107" s="225"/>
      <x:c r="M107" s="225"/>
      <x:c r="N107" s="225"/>
      <x:c r="O107" s="225"/>
      <x:c r="P107" s="220" t="str">
        <x:f>IF(OR(O107="",L107="",D107=""),"",IF(D107="做多",IF(O107&gt;L107,"Win",IF(O107&lt;L107,"Loss","BE")),IF(O107&lt;L107,"Win",IF(O107&gt;L107,"Loss","BE"))))</x:f>
      </x:c>
      <x:c r="Q107" s="228" t="str">
        <x:f>IF(OR(O107="",L107="",M107="",L107=M107,D107=""),"",IF(D107="做多",(O107-L107)/ABS(L107-M107),(L107-O107)/ABS(L107-M107)))</x:f>
      </x:c>
      <x:c r="R107" s="98"/>
      <x:c r="S107" s="98"/>
      <x:c r="T107" s="217"/>
    </x:row>
    <x:row r="108">
      <x:c r="A108" s="214"/>
      <x:c r="B108" s="223"/>
      <x:c r="C108" s="98"/>
      <x:c r="D108" s="98"/>
      <x:c r="E108" s="98"/>
      <x:c r="F108" s="98"/>
      <x:c r="G108" s="98"/>
      <x:c r="H108" s="98"/>
      <x:c r="I108" s="98"/>
      <x:c r="J108" s="98"/>
      <x:c r="K108" s="98"/>
      <x:c r="L108" s="225"/>
      <x:c r="M108" s="225"/>
      <x:c r="N108" s="225"/>
      <x:c r="O108" s="225"/>
      <x:c r="P108" s="220" t="str">
        <x:f>IF(OR(O108="",L108="",D108=""),"",IF(D108="做多",IF(O108&gt;L108,"Win",IF(O108&lt;L108,"Loss","BE")),IF(O108&lt;L108,"Win",IF(O108&gt;L108,"Loss","BE"))))</x:f>
      </x:c>
      <x:c r="Q108" s="228" t="str">
        <x:f>IF(OR(O108="",L108="",M108="",L108=M108,D108=""),"",IF(D108="做多",(O108-L108)/ABS(L108-M108),(L108-O108)/ABS(L108-M108)))</x:f>
      </x:c>
      <x:c r="R108" s="98"/>
      <x:c r="S108" s="98"/>
      <x:c r="T108" s="217"/>
    </x:row>
    <x:row r="109">
      <x:c r="A109" s="214"/>
      <x:c r="B109" s="223"/>
      <x:c r="C109" s="98"/>
      <x:c r="D109" s="98"/>
      <x:c r="E109" s="98"/>
      <x:c r="F109" s="98"/>
      <x:c r="G109" s="98"/>
      <x:c r="H109" s="98"/>
      <x:c r="I109" s="98"/>
      <x:c r="J109" s="98"/>
      <x:c r="K109" s="98"/>
      <x:c r="L109" s="225"/>
      <x:c r="M109" s="225"/>
      <x:c r="N109" s="225"/>
      <x:c r="O109" s="225"/>
      <x:c r="P109" s="220" t="str">
        <x:f>IF(OR(O109="",L109="",D109=""),"",IF(D109="做多",IF(O109&gt;L109,"Win",IF(O109&lt;L109,"Loss","BE")),IF(O109&lt;L109,"Win",IF(O109&gt;L109,"Loss","BE"))))</x:f>
      </x:c>
      <x:c r="Q109" s="228" t="str">
        <x:f>IF(OR(O109="",L109="",M109="",L109=M109,D109=""),"",IF(D109="做多",(O109-L109)/ABS(L109-M109),(L109-O109)/ABS(L109-M109)))</x:f>
      </x:c>
      <x:c r="R109" s="98"/>
      <x:c r="S109" s="98"/>
      <x:c r="T109" s="217"/>
    </x:row>
    <x:row r="110">
      <x:c r="A110" s="214"/>
      <x:c r="B110" s="223"/>
      <x:c r="C110" s="98"/>
      <x:c r="D110" s="98"/>
      <x:c r="E110" s="98"/>
      <x:c r="F110" s="98"/>
      <x:c r="G110" s="98"/>
      <x:c r="H110" s="98"/>
      <x:c r="I110" s="98"/>
      <x:c r="J110" s="98"/>
      <x:c r="K110" s="98"/>
      <x:c r="L110" s="225"/>
      <x:c r="M110" s="225"/>
      <x:c r="N110" s="225"/>
      <x:c r="O110" s="225"/>
      <x:c r="P110" s="220" t="str">
        <x:f>IF(OR(O110="",L110="",D110=""),"",IF(D110="做多",IF(O110&gt;L110,"Win",IF(O110&lt;L110,"Loss","BE")),IF(O110&lt;L110,"Win",IF(O110&gt;L110,"Loss","BE"))))</x:f>
      </x:c>
      <x:c r="Q110" s="228" t="str">
        <x:f>IF(OR(O110="",L110="",M110="",L110=M110,D110=""),"",IF(D110="做多",(O110-L110)/ABS(L110-M110),(L110-O110)/ABS(L110-M110)))</x:f>
      </x:c>
      <x:c r="R110" s="98"/>
      <x:c r="S110" s="98"/>
      <x:c r="T110" s="217"/>
    </x:row>
    <x:row r="111">
      <x:c r="A111" s="214"/>
      <x:c r="B111" s="223"/>
      <x:c r="C111" s="98"/>
      <x:c r="D111" s="98"/>
      <x:c r="E111" s="98"/>
      <x:c r="F111" s="98"/>
      <x:c r="G111" s="98"/>
      <x:c r="H111" s="98"/>
      <x:c r="I111" s="98"/>
      <x:c r="J111" s="98"/>
      <x:c r="K111" s="98"/>
      <x:c r="L111" s="225"/>
      <x:c r="M111" s="225"/>
      <x:c r="N111" s="225"/>
      <x:c r="O111" s="225"/>
      <x:c r="P111" s="220" t="str">
        <x:f>IF(OR(O111="",L111="",D111=""),"",IF(D111="做多",IF(O111&gt;L111,"Win",IF(O111&lt;L111,"Loss","BE")),IF(O111&lt;L111,"Win",IF(O111&gt;L111,"Loss","BE"))))</x:f>
      </x:c>
      <x:c r="Q111" s="228" t="str">
        <x:f>IF(OR(O111="",L111="",M111="",L111=M111,D111=""),"",IF(D111="做多",(O111-L111)/ABS(L111-M111),(L111-O111)/ABS(L111-M111)))</x:f>
      </x:c>
      <x:c r="R111" s="98"/>
      <x:c r="S111" s="98"/>
      <x:c r="T111" s="217"/>
    </x:row>
    <x:row r="112">
      <x:c r="A112" s="214"/>
      <x:c r="B112" s="223"/>
      <x:c r="C112" s="98"/>
      <x:c r="D112" s="98"/>
      <x:c r="E112" s="98"/>
      <x:c r="F112" s="98"/>
      <x:c r="G112" s="98"/>
      <x:c r="H112" s="98"/>
      <x:c r="I112" s="98"/>
      <x:c r="J112" s="98"/>
      <x:c r="K112" s="98"/>
      <x:c r="L112" s="225"/>
      <x:c r="M112" s="225"/>
      <x:c r="N112" s="225"/>
      <x:c r="O112" s="225"/>
      <x:c r="P112" s="220" t="str">
        <x:f>IF(OR(O112="",L112="",D112=""),"",IF(D112="做多",IF(O112&gt;L112,"Win",IF(O112&lt;L112,"Loss","BE")),IF(O112&lt;L112,"Win",IF(O112&gt;L112,"Loss","BE"))))</x:f>
      </x:c>
      <x:c r="Q112" s="228" t="str">
        <x:f>IF(OR(O112="",L112="",M112="",L112=M112,D112=""),"",IF(D112="做多",(O112-L112)/ABS(L112-M112),(L112-O112)/ABS(L112-M112)))</x:f>
      </x:c>
      <x:c r="R112" s="98"/>
      <x:c r="S112" s="98"/>
      <x:c r="T112" s="217"/>
    </x:row>
    <x:row r="113">
      <x:c r="A113" s="214"/>
      <x:c r="B113" s="223"/>
      <x:c r="C113" s="98"/>
      <x:c r="D113" s="98"/>
      <x:c r="E113" s="98"/>
      <x:c r="F113" s="98"/>
      <x:c r="G113" s="98"/>
      <x:c r="H113" s="98"/>
      <x:c r="I113" s="98"/>
      <x:c r="J113" s="98"/>
      <x:c r="K113" s="98"/>
      <x:c r="L113" s="225"/>
      <x:c r="M113" s="225"/>
      <x:c r="N113" s="225"/>
      <x:c r="O113" s="225"/>
      <x:c r="P113" s="220" t="str">
        <x:f>IF(OR(O113="",L113="",D113=""),"",IF(D113="做多",IF(O113&gt;L113,"Win",IF(O113&lt;L113,"Loss","BE")),IF(O113&lt;L113,"Win",IF(O113&gt;L113,"Loss","BE"))))</x:f>
      </x:c>
      <x:c r="Q113" s="228" t="str">
        <x:f>IF(OR(O113="",L113="",M113="",L113=M113,D113=""),"",IF(D113="做多",(O113-L113)/ABS(L113-M113),(L113-O113)/ABS(L113-M113)))</x:f>
      </x:c>
      <x:c r="R113" s="98"/>
      <x:c r="S113" s="98"/>
      <x:c r="T113" s="217"/>
    </x:row>
    <x:row r="114">
      <x:c r="A114" s="214"/>
      <x:c r="B114" s="223"/>
      <x:c r="C114" s="98"/>
      <x:c r="D114" s="98"/>
      <x:c r="E114" s="98"/>
      <x:c r="F114" s="98"/>
      <x:c r="G114" s="98"/>
      <x:c r="H114" s="98"/>
      <x:c r="I114" s="98"/>
      <x:c r="J114" s="98"/>
      <x:c r="K114" s="98"/>
      <x:c r="L114" s="225"/>
      <x:c r="M114" s="225"/>
      <x:c r="N114" s="225"/>
      <x:c r="O114" s="225"/>
      <x:c r="P114" s="220" t="str">
        <x:f>IF(OR(O114="",L114="",D114=""),"",IF(D114="做多",IF(O114&gt;L114,"Win",IF(O114&lt;L114,"Loss","BE")),IF(O114&lt;L114,"Win",IF(O114&gt;L114,"Loss","BE"))))</x:f>
      </x:c>
      <x:c r="Q114" s="228" t="str">
        <x:f>IF(OR(O114="",L114="",M114="",L114=M114,D114=""),"",IF(D114="做多",(O114-L114)/ABS(L114-M114),(L114-O114)/ABS(L114-M114)))</x:f>
      </x:c>
      <x:c r="R114" s="98"/>
      <x:c r="S114" s="98"/>
      <x:c r="T114" s="217"/>
    </x:row>
    <x:row r="115">
      <x:c r="A115" s="214"/>
      <x:c r="B115" s="223"/>
      <x:c r="C115" s="98"/>
      <x:c r="D115" s="98"/>
      <x:c r="E115" s="98"/>
      <x:c r="F115" s="98"/>
      <x:c r="G115" s="98"/>
      <x:c r="H115" s="98"/>
      <x:c r="I115" s="98"/>
      <x:c r="J115" s="98"/>
      <x:c r="K115" s="98"/>
      <x:c r="L115" s="225"/>
      <x:c r="M115" s="225"/>
      <x:c r="N115" s="225"/>
      <x:c r="O115" s="225"/>
      <x:c r="P115" s="220" t="str">
        <x:f>IF(OR(O115="",L115="",D115=""),"",IF(D115="做多",IF(O115&gt;L115,"Win",IF(O115&lt;L115,"Loss","BE")),IF(O115&lt;L115,"Win",IF(O115&gt;L115,"Loss","BE"))))</x:f>
      </x:c>
      <x:c r="Q115" s="228" t="str">
        <x:f>IF(OR(O115="",L115="",M115="",L115=M115,D115=""),"",IF(D115="做多",(O115-L115)/ABS(L115-M115),(L115-O115)/ABS(L115-M115)))</x:f>
      </x:c>
      <x:c r="R115" s="98"/>
      <x:c r="S115" s="98"/>
      <x:c r="T115" s="217"/>
    </x:row>
    <x:row r="116">
      <x:c r="A116" s="214"/>
      <x:c r="B116" s="223"/>
      <x:c r="C116" s="98"/>
      <x:c r="D116" s="98"/>
      <x:c r="E116" s="98"/>
      <x:c r="F116" s="98"/>
      <x:c r="G116" s="98"/>
      <x:c r="H116" s="98"/>
      <x:c r="I116" s="98"/>
      <x:c r="J116" s="98"/>
      <x:c r="K116" s="98"/>
      <x:c r="L116" s="225"/>
      <x:c r="M116" s="225"/>
      <x:c r="N116" s="225"/>
      <x:c r="O116" s="225"/>
      <x:c r="P116" s="220" t="str">
        <x:f>IF(OR(O116="",L116="",D116=""),"",IF(D116="做多",IF(O116&gt;L116,"Win",IF(O116&lt;L116,"Loss","BE")),IF(O116&lt;L116,"Win",IF(O116&gt;L116,"Loss","BE"))))</x:f>
      </x:c>
      <x:c r="Q116" s="228" t="str">
        <x:f>IF(OR(O116="",L116="",M116="",L116=M116,D116=""),"",IF(D116="做多",(O116-L116)/ABS(L116-M116),(L116-O116)/ABS(L116-M116)))</x:f>
      </x:c>
      <x:c r="R116" s="98"/>
      <x:c r="S116" s="98"/>
      <x:c r="T116" s="217"/>
    </x:row>
    <x:row r="117">
      <x:c r="A117" s="214"/>
      <x:c r="B117" s="223"/>
      <x:c r="C117" s="98"/>
      <x:c r="D117" s="98"/>
      <x:c r="E117" s="98"/>
      <x:c r="F117" s="98"/>
      <x:c r="G117" s="98"/>
      <x:c r="H117" s="98"/>
      <x:c r="I117" s="98"/>
      <x:c r="J117" s="98"/>
      <x:c r="K117" s="98"/>
      <x:c r="L117" s="225"/>
      <x:c r="M117" s="225"/>
      <x:c r="N117" s="225"/>
      <x:c r="O117" s="225"/>
      <x:c r="P117" s="220" t="str">
        <x:f>IF(OR(O117="",L117="",D117=""),"",IF(D117="做多",IF(O117&gt;L117,"Win",IF(O117&lt;L117,"Loss","BE")),IF(O117&lt;L117,"Win",IF(O117&gt;L117,"Loss","BE"))))</x:f>
      </x:c>
      <x:c r="Q117" s="228" t="str">
        <x:f>IF(OR(O117="",L117="",M117="",L117=M117,D117=""),"",IF(D117="做多",(O117-L117)/ABS(L117-M117),(L117-O117)/ABS(L117-M117)))</x:f>
      </x:c>
      <x:c r="R117" s="98"/>
      <x:c r="S117" s="98"/>
      <x:c r="T117" s="217"/>
    </x:row>
    <x:row r="118">
      <x:c r="A118" s="214"/>
      <x:c r="B118" s="223"/>
      <x:c r="C118" s="98"/>
      <x:c r="D118" s="98"/>
      <x:c r="E118" s="98"/>
      <x:c r="F118" s="98"/>
      <x:c r="G118" s="98"/>
      <x:c r="H118" s="98"/>
      <x:c r="I118" s="98"/>
      <x:c r="J118" s="98"/>
      <x:c r="K118" s="98"/>
      <x:c r="L118" s="225"/>
      <x:c r="M118" s="225"/>
      <x:c r="N118" s="225"/>
      <x:c r="O118" s="225"/>
      <x:c r="P118" s="220" t="str">
        <x:f>IF(OR(O118="",L118="",D118=""),"",IF(D118="做多",IF(O118&gt;L118,"Win",IF(O118&lt;L118,"Loss","BE")),IF(O118&lt;L118,"Win",IF(O118&gt;L118,"Loss","BE"))))</x:f>
      </x:c>
      <x:c r="Q118" s="228" t="str">
        <x:f>IF(OR(O118="",L118="",M118="",L118=M118,D118=""),"",IF(D118="做多",(O118-L118)/ABS(L118-M118),(L118-O118)/ABS(L118-M118)))</x:f>
      </x:c>
      <x:c r="R118" s="98"/>
      <x:c r="S118" s="98"/>
      <x:c r="T118" s="217"/>
    </x:row>
    <x:row r="119">
      <x:c r="A119" s="214"/>
      <x:c r="B119" s="223"/>
      <x:c r="C119" s="98"/>
      <x:c r="D119" s="98"/>
      <x:c r="E119" s="98"/>
      <x:c r="F119" s="98"/>
      <x:c r="G119" s="98"/>
      <x:c r="H119" s="98"/>
      <x:c r="I119" s="98"/>
      <x:c r="J119" s="98"/>
      <x:c r="K119" s="98"/>
      <x:c r="L119" s="225"/>
      <x:c r="M119" s="225"/>
      <x:c r="N119" s="225"/>
      <x:c r="O119" s="225"/>
      <x:c r="P119" s="220" t="str">
        <x:f>IF(OR(O119="",L119="",D119=""),"",IF(D119="做多",IF(O119&gt;L119,"Win",IF(O119&lt;L119,"Loss","BE")),IF(O119&lt;L119,"Win",IF(O119&gt;L119,"Loss","BE"))))</x:f>
      </x:c>
      <x:c r="Q119" s="228" t="str">
        <x:f>IF(OR(O119="",L119="",M119="",L119=M119,D119=""),"",IF(D119="做多",(O119-L119)/ABS(L119-M119),(L119-O119)/ABS(L119-M119)))</x:f>
      </x:c>
      <x:c r="R119" s="98"/>
      <x:c r="S119" s="98"/>
      <x:c r="T119" s="217"/>
    </x:row>
    <x:row r="120">
      <x:c r="A120" s="214"/>
      <x:c r="B120" s="223"/>
      <x:c r="C120" s="98"/>
      <x:c r="D120" s="98"/>
      <x:c r="E120" s="98"/>
      <x:c r="F120" s="98"/>
      <x:c r="G120" s="98"/>
      <x:c r="H120" s="98"/>
      <x:c r="I120" s="98"/>
      <x:c r="J120" s="98"/>
      <x:c r="K120" s="98"/>
      <x:c r="L120" s="225"/>
      <x:c r="M120" s="225"/>
      <x:c r="N120" s="225"/>
      <x:c r="O120" s="225"/>
      <x:c r="P120" s="220" t="str">
        <x:f>IF(OR(O120="",L120="",D120=""),"",IF(D120="做多",IF(O120&gt;L120,"Win",IF(O120&lt;L120,"Loss","BE")),IF(O120&lt;L120,"Win",IF(O120&gt;L120,"Loss","BE"))))</x:f>
      </x:c>
      <x:c r="Q120" s="228" t="str">
        <x:f>IF(OR(O120="",L120="",M120="",L120=M120,D120=""),"",IF(D120="做多",(O120-L120)/ABS(L120-M120),(L120-O120)/ABS(L120-M120)))</x:f>
      </x:c>
      <x:c r="R120" s="98"/>
      <x:c r="S120" s="98"/>
      <x:c r="T120" s="217"/>
    </x:row>
    <x:row r="121">
      <x:c r="A121" s="214"/>
      <x:c r="B121" s="223"/>
      <x:c r="C121" s="98"/>
      <x:c r="D121" s="98"/>
      <x:c r="E121" s="98"/>
      <x:c r="F121" s="98"/>
      <x:c r="G121" s="98"/>
      <x:c r="H121" s="98"/>
      <x:c r="I121" s="98"/>
      <x:c r="J121" s="98"/>
      <x:c r="K121" s="98"/>
      <x:c r="L121" s="225"/>
      <x:c r="M121" s="225"/>
      <x:c r="N121" s="225"/>
      <x:c r="O121" s="225"/>
      <x:c r="P121" s="220" t="str">
        <x:f>IF(OR(O121="",L121="",D121=""),"",IF(D121="做多",IF(O121&gt;L121,"Win",IF(O121&lt;L121,"Loss","BE")),IF(O121&lt;L121,"Win",IF(O121&gt;L121,"Loss","BE"))))</x:f>
      </x:c>
      <x:c r="Q121" s="228" t="str">
        <x:f>IF(OR(O121="",L121="",M121="",L121=M121,D121=""),"",IF(D121="做多",(O121-L121)/ABS(L121-M121),(L121-O121)/ABS(L121-M121)))</x:f>
      </x:c>
      <x:c r="R121" s="98"/>
      <x:c r="S121" s="98"/>
      <x:c r="T121" s="217"/>
    </x:row>
    <x:row r="122">
      <x:c r="A122" s="214"/>
      <x:c r="B122" s="223"/>
      <x:c r="C122" s="98"/>
      <x:c r="D122" s="98"/>
      <x:c r="E122" s="98"/>
      <x:c r="F122" s="98"/>
      <x:c r="G122" s="98"/>
      <x:c r="H122" s="98"/>
      <x:c r="I122" s="98"/>
      <x:c r="J122" s="98"/>
      <x:c r="K122" s="98"/>
      <x:c r="L122" s="225"/>
      <x:c r="M122" s="225"/>
      <x:c r="N122" s="225"/>
      <x:c r="O122" s="225"/>
      <x:c r="P122" s="220" t="str">
        <x:f>IF(OR(O122="",L122="",D122=""),"",IF(D122="做多",IF(O122&gt;L122,"Win",IF(O122&lt;L122,"Loss","BE")),IF(O122&lt;L122,"Win",IF(O122&gt;L122,"Loss","BE"))))</x:f>
      </x:c>
      <x:c r="Q122" s="228" t="str">
        <x:f>IF(OR(O122="",L122="",M122="",L122=M122,D122=""),"",IF(D122="做多",(O122-L122)/ABS(L122-M122),(L122-O122)/ABS(L122-M122)))</x:f>
      </x:c>
      <x:c r="R122" s="98"/>
      <x:c r="S122" s="98"/>
      <x:c r="T122" s="217"/>
    </x:row>
    <x:row r="123">
      <x:c r="A123" s="214"/>
      <x:c r="B123" s="223"/>
      <x:c r="C123" s="98"/>
      <x:c r="D123" s="98"/>
      <x:c r="E123" s="98"/>
      <x:c r="F123" s="98"/>
      <x:c r="G123" s="98"/>
      <x:c r="H123" s="98"/>
      <x:c r="I123" s="98"/>
      <x:c r="J123" s="98"/>
      <x:c r="K123" s="98"/>
      <x:c r="L123" s="225"/>
      <x:c r="M123" s="225"/>
      <x:c r="N123" s="225"/>
      <x:c r="O123" s="225"/>
      <x:c r="P123" s="220" t="str">
        <x:f>IF(OR(O123="",L123="",D123=""),"",IF(D123="做多",IF(O123&gt;L123,"Win",IF(O123&lt;L123,"Loss","BE")),IF(O123&lt;L123,"Win",IF(O123&gt;L123,"Loss","BE"))))</x:f>
      </x:c>
      <x:c r="Q123" s="228" t="str">
        <x:f>IF(OR(O123="",L123="",M123="",L123=M123,D123=""),"",IF(D123="做多",(O123-L123)/ABS(L123-M123),(L123-O123)/ABS(L123-M123)))</x:f>
      </x:c>
      <x:c r="R123" s="98"/>
      <x:c r="S123" s="98"/>
      <x:c r="T123" s="217"/>
    </x:row>
    <x:row r="124">
      <x:c r="A124" s="214"/>
      <x:c r="B124" s="223"/>
      <x:c r="C124" s="98"/>
      <x:c r="D124" s="98"/>
      <x:c r="E124" s="98"/>
      <x:c r="F124" s="98"/>
      <x:c r="G124" s="98"/>
      <x:c r="H124" s="98"/>
      <x:c r="I124" s="98"/>
      <x:c r="J124" s="98"/>
      <x:c r="K124" s="98"/>
      <x:c r="L124" s="225"/>
      <x:c r="M124" s="225"/>
      <x:c r="N124" s="225"/>
      <x:c r="O124" s="225"/>
      <x:c r="P124" s="220" t="str">
        <x:f>IF(OR(O124="",L124="",D124=""),"",IF(D124="做多",IF(O124&gt;L124,"Win",IF(O124&lt;L124,"Loss","BE")),IF(O124&lt;L124,"Win",IF(O124&gt;L124,"Loss","BE"))))</x:f>
      </x:c>
      <x:c r="Q124" s="228" t="str">
        <x:f>IF(OR(O124="",L124="",M124="",L124=M124,D124=""),"",IF(D124="做多",(O124-L124)/ABS(L124-M124),(L124-O124)/ABS(L124-M124)))</x:f>
      </x:c>
      <x:c r="R124" s="98"/>
      <x:c r="S124" s="98"/>
      <x:c r="T124" s="217"/>
    </x:row>
    <x:row r="125">
      <x:c r="A125" s="214"/>
      <x:c r="B125" s="223"/>
      <x:c r="C125" s="98"/>
      <x:c r="D125" s="98"/>
      <x:c r="E125" s="98"/>
      <x:c r="F125" s="98"/>
      <x:c r="G125" s="98"/>
      <x:c r="H125" s="98"/>
      <x:c r="I125" s="98"/>
      <x:c r="J125" s="98"/>
      <x:c r="K125" s="98"/>
      <x:c r="L125" s="225"/>
      <x:c r="M125" s="225"/>
      <x:c r="N125" s="225"/>
      <x:c r="O125" s="225"/>
      <x:c r="P125" s="220" t="str">
        <x:f>IF(OR(O125="",L125="",D125=""),"",IF(D125="做多",IF(O125&gt;L125,"Win",IF(O125&lt;L125,"Loss","BE")),IF(O125&lt;L125,"Win",IF(O125&gt;L125,"Loss","BE"))))</x:f>
      </x:c>
      <x:c r="Q125" s="228" t="str">
        <x:f>IF(OR(O125="",L125="",M125="",L125=M125,D125=""),"",IF(D125="做多",(O125-L125)/ABS(L125-M125),(L125-O125)/ABS(L125-M125)))</x:f>
      </x:c>
      <x:c r="R125" s="98"/>
      <x:c r="S125" s="98"/>
      <x:c r="T125" s="217"/>
    </x:row>
    <x:row r="126">
      <x:c r="A126" s="214"/>
      <x:c r="B126" s="223"/>
      <x:c r="C126" s="98"/>
      <x:c r="D126" s="98"/>
      <x:c r="E126" s="98"/>
      <x:c r="F126" s="98"/>
      <x:c r="G126" s="98"/>
      <x:c r="H126" s="98"/>
      <x:c r="I126" s="98"/>
      <x:c r="J126" s="98"/>
      <x:c r="K126" s="98"/>
      <x:c r="L126" s="225"/>
      <x:c r="M126" s="225"/>
      <x:c r="N126" s="225"/>
      <x:c r="O126" s="225"/>
      <x:c r="P126" s="220" t="str">
        <x:f>IF(OR(O126="",L126="",D126=""),"",IF(D126="做多",IF(O126&gt;L126,"Win",IF(O126&lt;L126,"Loss","BE")),IF(O126&lt;L126,"Win",IF(O126&gt;L126,"Loss","BE"))))</x:f>
      </x:c>
      <x:c r="Q126" s="228" t="str">
        <x:f>IF(OR(O126="",L126="",M126="",L126=M126,D126=""),"",IF(D126="做多",(O126-L126)/ABS(L126-M126),(L126-O126)/ABS(L126-M126)))</x:f>
      </x:c>
      <x:c r="R126" s="98"/>
      <x:c r="S126" s="98"/>
      <x:c r="T126" s="217"/>
    </x:row>
    <x:row r="127">
      <x:c r="A127" s="214"/>
      <x:c r="B127" s="223"/>
      <x:c r="C127" s="98"/>
      <x:c r="D127" s="98"/>
      <x:c r="E127" s="98"/>
      <x:c r="F127" s="98"/>
      <x:c r="G127" s="98"/>
      <x:c r="H127" s="98"/>
      <x:c r="I127" s="98"/>
      <x:c r="J127" s="98"/>
      <x:c r="K127" s="98"/>
      <x:c r="L127" s="225"/>
      <x:c r="M127" s="225"/>
      <x:c r="N127" s="225"/>
      <x:c r="O127" s="225"/>
      <x:c r="P127" s="220" t="str">
        <x:f>IF(OR(O127="",L127="",D127=""),"",IF(D127="做多",IF(O127&gt;L127,"Win",IF(O127&lt;L127,"Loss","BE")),IF(O127&lt;L127,"Win",IF(O127&gt;L127,"Loss","BE"))))</x:f>
      </x:c>
      <x:c r="Q127" s="228" t="str">
        <x:f>IF(OR(O127="",L127="",M127="",L127=M127,D127=""),"",IF(D127="做多",(O127-L127)/ABS(L127-M127),(L127-O127)/ABS(L127-M127)))</x:f>
      </x:c>
      <x:c r="R127" s="98"/>
      <x:c r="S127" s="98"/>
      <x:c r="T127" s="217"/>
    </x:row>
    <x:row r="128">
      <x:c r="A128" s="214"/>
      <x:c r="B128" s="223"/>
      <x:c r="C128" s="98"/>
      <x:c r="D128" s="98"/>
      <x:c r="E128" s="98"/>
      <x:c r="F128" s="98"/>
      <x:c r="G128" s="98"/>
      <x:c r="H128" s="98"/>
      <x:c r="I128" s="98"/>
      <x:c r="J128" s="98"/>
      <x:c r="K128" s="98"/>
      <x:c r="L128" s="225"/>
      <x:c r="M128" s="225"/>
      <x:c r="N128" s="225"/>
      <x:c r="O128" s="225"/>
      <x:c r="P128" s="220" t="str">
        <x:f>IF(OR(O128="",L128="",D128=""),"",IF(D128="做多",IF(O128&gt;L128,"Win",IF(O128&lt;L128,"Loss","BE")),IF(O128&lt;L128,"Win",IF(O128&gt;L128,"Loss","BE"))))</x:f>
      </x:c>
      <x:c r="Q128" s="228" t="str">
        <x:f>IF(OR(O128="",L128="",M128="",L128=M128,D128=""),"",IF(D128="做多",(O128-L128)/ABS(L128-M128),(L128-O128)/ABS(L128-M128)))</x:f>
      </x:c>
      <x:c r="R128" s="98"/>
      <x:c r="S128" s="98"/>
      <x:c r="T128" s="217"/>
    </x:row>
    <x:row r="129">
      <x:c r="A129" s="214"/>
      <x:c r="B129" s="223"/>
      <x:c r="C129" s="98"/>
      <x:c r="D129" s="98"/>
      <x:c r="E129" s="98"/>
      <x:c r="F129" s="98"/>
      <x:c r="G129" s="98"/>
      <x:c r="H129" s="98"/>
      <x:c r="I129" s="98"/>
      <x:c r="J129" s="98"/>
      <x:c r="K129" s="98"/>
      <x:c r="L129" s="225"/>
      <x:c r="M129" s="225"/>
      <x:c r="N129" s="225"/>
      <x:c r="O129" s="225"/>
      <x:c r="P129" s="220" t="str">
        <x:f>IF(OR(O129="",L129="",D129=""),"",IF(D129="做多",IF(O129&gt;L129,"Win",IF(O129&lt;L129,"Loss","BE")),IF(O129&lt;L129,"Win",IF(O129&gt;L129,"Loss","BE"))))</x:f>
      </x:c>
      <x:c r="Q129" s="228" t="str">
        <x:f>IF(OR(O129="",L129="",M129="",L129=M129,D129=""),"",IF(D129="做多",(O129-L129)/ABS(L129-M129),(L129-O129)/ABS(L129-M129)))</x:f>
      </x:c>
      <x:c r="R129" s="98"/>
      <x:c r="S129" s="98"/>
      <x:c r="T129" s="217"/>
    </x:row>
    <x:row r="130">
      <x:c r="A130" s="214"/>
      <x:c r="B130" s="223"/>
      <x:c r="C130" s="98"/>
      <x:c r="D130" s="98"/>
      <x:c r="E130" s="98"/>
      <x:c r="F130" s="98"/>
      <x:c r="G130" s="98"/>
      <x:c r="H130" s="98"/>
      <x:c r="I130" s="98"/>
      <x:c r="J130" s="98"/>
      <x:c r="K130" s="98"/>
      <x:c r="L130" s="225"/>
      <x:c r="M130" s="225"/>
      <x:c r="N130" s="225"/>
      <x:c r="O130" s="225"/>
      <x:c r="P130" s="220" t="str">
        <x:f>IF(OR(O130="",L130="",D130=""),"",IF(D130="做多",IF(O130&gt;L130,"Win",IF(O130&lt;L130,"Loss","BE")),IF(O130&lt;L130,"Win",IF(O130&gt;L130,"Loss","BE"))))</x:f>
      </x:c>
      <x:c r="Q130" s="228" t="str">
        <x:f>IF(OR(O130="",L130="",M130="",L130=M130,D130=""),"",IF(D130="做多",(O130-L130)/ABS(L130-M130),(L130-O130)/ABS(L130-M130)))</x:f>
      </x:c>
      <x:c r="R130" s="98"/>
      <x:c r="S130" s="98"/>
      <x:c r="T130" s="217"/>
    </x:row>
    <x:row r="131">
      <x:c r="A131" s="214"/>
      <x:c r="B131" s="223"/>
      <x:c r="C131" s="98"/>
      <x:c r="D131" s="98"/>
      <x:c r="E131" s="98"/>
      <x:c r="F131" s="98"/>
      <x:c r="G131" s="98"/>
      <x:c r="H131" s="98"/>
      <x:c r="I131" s="98"/>
      <x:c r="J131" s="98"/>
      <x:c r="K131" s="98"/>
      <x:c r="L131" s="225"/>
      <x:c r="M131" s="225"/>
      <x:c r="N131" s="225"/>
      <x:c r="O131" s="225"/>
      <x:c r="P131" s="220" t="str">
        <x:f>IF(OR(O131="",L131="",D131=""),"",IF(D131="做多",IF(O131&gt;L131,"Win",IF(O131&lt;L131,"Loss","BE")),IF(O131&lt;L131,"Win",IF(O131&gt;L131,"Loss","BE"))))</x:f>
      </x:c>
      <x:c r="Q131" s="228" t="str">
        <x:f>IF(OR(O131="",L131="",M131="",L131=M131,D131=""),"",IF(D131="做多",(O131-L131)/ABS(L131-M131),(L131-O131)/ABS(L131-M131)))</x:f>
      </x:c>
      <x:c r="R131" s="98"/>
      <x:c r="S131" s="98"/>
      <x:c r="T131" s="217"/>
    </x:row>
    <x:row r="132">
      <x:c r="A132" s="214"/>
      <x:c r="B132" s="223"/>
      <x:c r="C132" s="98"/>
      <x:c r="D132" s="98"/>
      <x:c r="E132" s="98"/>
      <x:c r="F132" s="98"/>
      <x:c r="G132" s="98"/>
      <x:c r="H132" s="98"/>
      <x:c r="I132" s="98"/>
      <x:c r="J132" s="98"/>
      <x:c r="K132" s="98"/>
      <x:c r="L132" s="225"/>
      <x:c r="M132" s="225"/>
      <x:c r="N132" s="225"/>
      <x:c r="O132" s="225"/>
      <x:c r="P132" s="220" t="str">
        <x:f>IF(OR(O132="",L132="",D132=""),"",IF(D132="做多",IF(O132&gt;L132,"Win",IF(O132&lt;L132,"Loss","BE")),IF(O132&lt;L132,"Win",IF(O132&gt;L132,"Loss","BE"))))</x:f>
      </x:c>
      <x:c r="Q132" s="228" t="str">
        <x:f>IF(OR(O132="",L132="",M132="",L132=M132,D132=""),"",IF(D132="做多",(O132-L132)/ABS(L132-M132),(L132-O132)/ABS(L132-M132)))</x:f>
      </x:c>
      <x:c r="R132" s="98"/>
      <x:c r="S132" s="98"/>
      <x:c r="T132" s="217"/>
    </x:row>
    <x:row r="133">
      <x:c r="A133" s="214"/>
      <x:c r="B133" s="223"/>
      <x:c r="C133" s="98"/>
      <x:c r="D133" s="98"/>
      <x:c r="E133" s="98"/>
      <x:c r="F133" s="98"/>
      <x:c r="G133" s="98"/>
      <x:c r="H133" s="98"/>
      <x:c r="I133" s="98"/>
      <x:c r="J133" s="98"/>
      <x:c r="K133" s="98"/>
      <x:c r="L133" s="225"/>
      <x:c r="M133" s="225"/>
      <x:c r="N133" s="225"/>
      <x:c r="O133" s="225"/>
      <x:c r="P133" s="220" t="str">
        <x:f>IF(OR(O133="",L133="",D133=""),"",IF(D133="做多",IF(O133&gt;L133,"Win",IF(O133&lt;L133,"Loss","BE")),IF(O133&lt;L133,"Win",IF(O133&gt;L133,"Loss","BE"))))</x:f>
      </x:c>
      <x:c r="Q133" s="228" t="str">
        <x:f>IF(OR(O133="",L133="",M133="",L133=M133,D133=""),"",IF(D133="做多",(O133-L133)/ABS(L133-M133),(L133-O133)/ABS(L133-M133)))</x:f>
      </x:c>
      <x:c r="R133" s="98"/>
      <x:c r="S133" s="98"/>
      <x:c r="T133" s="217"/>
    </x:row>
    <x:row r="134">
      <x:c r="A134" s="214"/>
      <x:c r="B134" s="223"/>
      <x:c r="C134" s="98"/>
      <x:c r="D134" s="98"/>
      <x:c r="E134" s="98"/>
      <x:c r="F134" s="98"/>
      <x:c r="G134" s="98"/>
      <x:c r="H134" s="98"/>
      <x:c r="I134" s="98"/>
      <x:c r="J134" s="98"/>
      <x:c r="K134" s="98"/>
      <x:c r="L134" s="225"/>
      <x:c r="M134" s="225"/>
      <x:c r="N134" s="225"/>
      <x:c r="O134" s="225"/>
      <x:c r="P134" s="220" t="str">
        <x:f>IF(OR(O134="",L134="",D134=""),"",IF(D134="做多",IF(O134&gt;L134,"Win",IF(O134&lt;L134,"Loss","BE")),IF(O134&lt;L134,"Win",IF(O134&gt;L134,"Loss","BE"))))</x:f>
      </x:c>
      <x:c r="Q134" s="228" t="str">
        <x:f>IF(OR(O134="",L134="",M134="",L134=M134,D134=""),"",IF(D134="做多",(O134-L134)/ABS(L134-M134),(L134-O134)/ABS(L134-M134)))</x:f>
      </x:c>
      <x:c r="R134" s="98"/>
      <x:c r="S134" s="98"/>
      <x:c r="T134" s="217"/>
    </x:row>
    <x:row r="135">
      <x:c r="A135" s="214"/>
      <x:c r="B135" s="223"/>
      <x:c r="C135" s="98"/>
      <x:c r="D135" s="98"/>
      <x:c r="E135" s="98"/>
      <x:c r="F135" s="98"/>
      <x:c r="G135" s="98"/>
      <x:c r="H135" s="98"/>
      <x:c r="I135" s="98"/>
      <x:c r="J135" s="98"/>
      <x:c r="K135" s="98"/>
      <x:c r="L135" s="225"/>
      <x:c r="M135" s="225"/>
      <x:c r="N135" s="225"/>
      <x:c r="O135" s="225"/>
      <x:c r="P135" s="220" t="str">
        <x:f>IF(OR(O135="",L135="",D135=""),"",IF(D135="做多",IF(O135&gt;L135,"Win",IF(O135&lt;L135,"Loss","BE")),IF(O135&lt;L135,"Win",IF(O135&gt;L135,"Loss","BE"))))</x:f>
      </x:c>
      <x:c r="Q135" s="228" t="str">
        <x:f>IF(OR(O135="",L135="",M135="",L135=M135,D135=""),"",IF(D135="做多",(O135-L135)/ABS(L135-M135),(L135-O135)/ABS(L135-M135)))</x:f>
      </x:c>
      <x:c r="R135" s="98"/>
      <x:c r="S135" s="98"/>
      <x:c r="T135" s="217"/>
    </x:row>
    <x:row r="136">
      <x:c r="A136" s="214"/>
      <x:c r="B136" s="223"/>
      <x:c r="C136" s="98"/>
      <x:c r="D136" s="98"/>
      <x:c r="E136" s="98"/>
      <x:c r="F136" s="98"/>
      <x:c r="G136" s="98"/>
      <x:c r="H136" s="98"/>
      <x:c r="I136" s="98"/>
      <x:c r="J136" s="98"/>
      <x:c r="K136" s="98"/>
      <x:c r="L136" s="225"/>
      <x:c r="M136" s="225"/>
      <x:c r="N136" s="225"/>
      <x:c r="O136" s="225"/>
      <x:c r="P136" s="220" t="str">
        <x:f>IF(OR(O136="",L136="",D136=""),"",IF(D136="做多",IF(O136&gt;L136,"Win",IF(O136&lt;L136,"Loss","BE")),IF(O136&lt;L136,"Win",IF(O136&gt;L136,"Loss","BE"))))</x:f>
      </x:c>
      <x:c r="Q136" s="228" t="str">
        <x:f>IF(OR(O136="",L136="",M136="",L136=M136,D136=""),"",IF(D136="做多",(O136-L136)/ABS(L136-M136),(L136-O136)/ABS(L136-M136)))</x:f>
      </x:c>
      <x:c r="R136" s="98"/>
      <x:c r="S136" s="98"/>
      <x:c r="T136" s="217"/>
    </x:row>
    <x:row r="137">
      <x:c r="A137" s="214"/>
      <x:c r="B137" s="223"/>
      <x:c r="C137" s="98"/>
      <x:c r="D137" s="98"/>
      <x:c r="E137" s="98"/>
      <x:c r="F137" s="98"/>
      <x:c r="G137" s="98"/>
      <x:c r="H137" s="98"/>
      <x:c r="I137" s="98"/>
      <x:c r="J137" s="98"/>
      <x:c r="K137" s="98"/>
      <x:c r="L137" s="225"/>
      <x:c r="M137" s="225"/>
      <x:c r="N137" s="225"/>
      <x:c r="O137" s="225"/>
      <x:c r="P137" s="220" t="str">
        <x:f>IF(OR(O137="",L137="",D137=""),"",IF(D137="做多",IF(O137&gt;L137,"Win",IF(O137&lt;L137,"Loss","BE")),IF(O137&lt;L137,"Win",IF(O137&gt;L137,"Loss","BE"))))</x:f>
      </x:c>
      <x:c r="Q137" s="228" t="str">
        <x:f>IF(OR(O137="",L137="",M137="",L137=M137,D137=""),"",IF(D137="做多",(O137-L137)/ABS(L137-M137),(L137-O137)/ABS(L137-M137)))</x:f>
      </x:c>
      <x:c r="R137" s="98"/>
      <x:c r="S137" s="98"/>
      <x:c r="T137" s="217"/>
    </x:row>
    <x:row r="138">
      <x:c r="A138" s="214"/>
      <x:c r="B138" s="223"/>
      <x:c r="C138" s="98"/>
      <x:c r="D138" s="98"/>
      <x:c r="E138" s="98"/>
      <x:c r="F138" s="98"/>
      <x:c r="G138" s="98"/>
      <x:c r="H138" s="98"/>
      <x:c r="I138" s="98"/>
      <x:c r="J138" s="98"/>
      <x:c r="K138" s="98"/>
      <x:c r="L138" s="225"/>
      <x:c r="M138" s="225"/>
      <x:c r="N138" s="225"/>
      <x:c r="O138" s="225"/>
      <x:c r="P138" s="220" t="str">
        <x:f>IF(OR(O138="",L138="",D138=""),"",IF(D138="做多",IF(O138&gt;L138,"Win",IF(O138&lt;L138,"Loss","BE")),IF(O138&lt;L138,"Win",IF(O138&gt;L138,"Loss","BE"))))</x:f>
      </x:c>
      <x:c r="Q138" s="228" t="str">
        <x:f>IF(OR(O138="",L138="",M138="",L138=M138,D138=""),"",IF(D138="做多",(O138-L138)/ABS(L138-M138),(L138-O138)/ABS(L138-M138)))</x:f>
      </x:c>
      <x:c r="R138" s="98"/>
      <x:c r="S138" s="98"/>
      <x:c r="T138" s="217"/>
    </x:row>
    <x:row r="139">
      <x:c r="A139" s="214"/>
      <x:c r="B139" s="223"/>
      <x:c r="C139" s="98"/>
      <x:c r="D139" s="98"/>
      <x:c r="E139" s="98"/>
      <x:c r="F139" s="98"/>
      <x:c r="G139" s="98"/>
      <x:c r="H139" s="98"/>
      <x:c r="I139" s="98"/>
      <x:c r="J139" s="98"/>
      <x:c r="K139" s="98"/>
      <x:c r="L139" s="225"/>
      <x:c r="M139" s="225"/>
      <x:c r="N139" s="225"/>
      <x:c r="O139" s="225"/>
      <x:c r="P139" s="220" t="str">
        <x:f>IF(OR(O139="",L139="",D139=""),"",IF(D139="做多",IF(O139&gt;L139,"Win",IF(O139&lt;L139,"Loss","BE")),IF(O139&lt;L139,"Win",IF(O139&gt;L139,"Loss","BE"))))</x:f>
      </x:c>
      <x:c r="Q139" s="228" t="str">
        <x:f>IF(OR(O139="",L139="",M139="",L139=M139,D139=""),"",IF(D139="做多",(O139-L139)/ABS(L139-M139),(L139-O139)/ABS(L139-M139)))</x:f>
      </x:c>
      <x:c r="R139" s="98"/>
      <x:c r="S139" s="98"/>
      <x:c r="T139" s="217"/>
    </x:row>
    <x:row r="140">
      <x:c r="A140" s="214"/>
      <x:c r="B140" s="223"/>
      <x:c r="C140" s="98"/>
      <x:c r="D140" s="98"/>
      <x:c r="E140" s="98"/>
      <x:c r="F140" s="98"/>
      <x:c r="G140" s="98"/>
      <x:c r="H140" s="98"/>
      <x:c r="I140" s="98"/>
      <x:c r="J140" s="98"/>
      <x:c r="K140" s="98"/>
      <x:c r="L140" s="225"/>
      <x:c r="M140" s="225"/>
      <x:c r="N140" s="225"/>
      <x:c r="O140" s="225"/>
      <x:c r="P140" s="220" t="str">
        <x:f>IF(OR(O140="",L140="",D140=""),"",IF(D140="做多",IF(O140&gt;L140,"Win",IF(O140&lt;L140,"Loss","BE")),IF(O140&lt;L140,"Win",IF(O140&gt;L140,"Loss","BE"))))</x:f>
      </x:c>
      <x:c r="Q140" s="228" t="str">
        <x:f>IF(OR(O140="",L140="",M140="",L140=M140,D140=""),"",IF(D140="做多",(O140-L140)/ABS(L140-M140),(L140-O140)/ABS(L140-M140)))</x:f>
      </x:c>
      <x:c r="R140" s="98"/>
      <x:c r="S140" s="98"/>
      <x:c r="T140" s="217"/>
    </x:row>
    <x:row r="141">
      <x:c r="A141" s="214"/>
      <x:c r="B141" s="223"/>
      <x:c r="C141" s="98"/>
      <x:c r="D141" s="98"/>
      <x:c r="E141" s="98"/>
      <x:c r="F141" s="98"/>
      <x:c r="G141" s="98"/>
      <x:c r="H141" s="98"/>
      <x:c r="I141" s="98"/>
      <x:c r="J141" s="98"/>
      <x:c r="K141" s="98"/>
      <x:c r="L141" s="225"/>
      <x:c r="M141" s="225"/>
      <x:c r="N141" s="225"/>
      <x:c r="O141" s="225"/>
      <x:c r="P141" s="220" t="str">
        <x:f>IF(OR(O141="",L141="",D141=""),"",IF(D141="做多",IF(O141&gt;L141,"Win",IF(O141&lt;L141,"Loss","BE")),IF(O141&lt;L141,"Win",IF(O141&gt;L141,"Loss","BE"))))</x:f>
      </x:c>
      <x:c r="Q141" s="228" t="str">
        <x:f>IF(OR(O141="",L141="",M141="",L141=M141,D141=""),"",IF(D141="做多",(O141-L141)/ABS(L141-M141),(L141-O141)/ABS(L141-M141)))</x:f>
      </x:c>
      <x:c r="R141" s="98"/>
      <x:c r="S141" s="98"/>
      <x:c r="T141" s="217"/>
    </x:row>
    <x:row r="142">
      <x:c r="A142" s="214"/>
      <x:c r="B142" s="223"/>
      <x:c r="C142" s="98"/>
      <x:c r="D142" s="98"/>
      <x:c r="E142" s="98"/>
      <x:c r="F142" s="98"/>
      <x:c r="G142" s="98"/>
      <x:c r="H142" s="98"/>
      <x:c r="I142" s="98"/>
      <x:c r="J142" s="98"/>
      <x:c r="K142" s="98"/>
      <x:c r="L142" s="225"/>
      <x:c r="M142" s="225"/>
      <x:c r="N142" s="225"/>
      <x:c r="O142" s="225"/>
      <x:c r="P142" s="220" t="str">
        <x:f>IF(OR(O142="",L142="",D142=""),"",IF(D142="做多",IF(O142&gt;L142,"Win",IF(O142&lt;L142,"Loss","BE")),IF(O142&lt;L142,"Win",IF(O142&gt;L142,"Loss","BE"))))</x:f>
      </x:c>
      <x:c r="Q142" s="228" t="str">
        <x:f>IF(OR(O142="",L142="",M142="",L142=M142,D142=""),"",IF(D142="做多",(O142-L142)/ABS(L142-M142),(L142-O142)/ABS(L142-M142)))</x:f>
      </x:c>
      <x:c r="R142" s="98"/>
      <x:c r="S142" s="98"/>
      <x:c r="T142" s="217"/>
    </x:row>
    <x:row r="143">
      <x:c r="A143" s="214"/>
      <x:c r="B143" s="223"/>
      <x:c r="C143" s="98"/>
      <x:c r="D143" s="98"/>
      <x:c r="E143" s="98"/>
      <x:c r="F143" s="98"/>
      <x:c r="G143" s="98"/>
      <x:c r="H143" s="98"/>
      <x:c r="I143" s="98"/>
      <x:c r="J143" s="98"/>
      <x:c r="K143" s="98"/>
      <x:c r="L143" s="225"/>
      <x:c r="M143" s="225"/>
      <x:c r="N143" s="225"/>
      <x:c r="O143" s="225"/>
      <x:c r="P143" s="220" t="str">
        <x:f>IF(OR(O143="",L143="",D143=""),"",IF(D143="做多",IF(O143&gt;L143,"Win",IF(O143&lt;L143,"Loss","BE")),IF(O143&lt;L143,"Win",IF(O143&gt;L143,"Loss","BE"))))</x:f>
      </x:c>
      <x:c r="Q143" s="228" t="str">
        <x:f>IF(OR(O143="",L143="",M143="",L143=M143,D143=""),"",IF(D143="做多",(O143-L143)/ABS(L143-M143),(L143-O143)/ABS(L143-M143)))</x:f>
      </x:c>
      <x:c r="R143" s="98"/>
      <x:c r="S143" s="98"/>
      <x:c r="T143" s="217"/>
    </x:row>
    <x:row r="144">
      <x:c r="A144" s="214"/>
      <x:c r="B144" s="223"/>
      <x:c r="C144" s="98"/>
      <x:c r="D144" s="98"/>
      <x:c r="E144" s="98"/>
      <x:c r="F144" s="98"/>
      <x:c r="G144" s="98"/>
      <x:c r="H144" s="98"/>
      <x:c r="I144" s="98"/>
      <x:c r="J144" s="98"/>
      <x:c r="K144" s="98"/>
      <x:c r="L144" s="225"/>
      <x:c r="M144" s="225"/>
      <x:c r="N144" s="225"/>
      <x:c r="O144" s="225"/>
      <x:c r="P144" s="220" t="str">
        <x:f>IF(OR(O144="",L144="",D144=""),"",IF(D144="做多",IF(O144&gt;L144,"Win",IF(O144&lt;L144,"Loss","BE")),IF(O144&lt;L144,"Win",IF(O144&gt;L144,"Loss","BE"))))</x:f>
      </x:c>
      <x:c r="Q144" s="228" t="str">
        <x:f>IF(OR(O144="",L144="",M144="",L144=M144,D144=""),"",IF(D144="做多",(O144-L144)/ABS(L144-M144),(L144-O144)/ABS(L144-M144)))</x:f>
      </x:c>
      <x:c r="R144" s="98"/>
      <x:c r="S144" s="98"/>
      <x:c r="T144" s="217"/>
    </x:row>
    <x:row r="145">
      <x:c r="A145" s="214"/>
      <x:c r="B145" s="223"/>
      <x:c r="C145" s="98"/>
      <x:c r="D145" s="98"/>
      <x:c r="E145" s="98"/>
      <x:c r="F145" s="98"/>
      <x:c r="G145" s="98"/>
      <x:c r="H145" s="98"/>
      <x:c r="I145" s="98"/>
      <x:c r="J145" s="98"/>
      <x:c r="K145" s="98"/>
      <x:c r="L145" s="225"/>
      <x:c r="M145" s="225"/>
      <x:c r="N145" s="225"/>
      <x:c r="O145" s="225"/>
      <x:c r="P145" s="220" t="str">
        <x:f>IF(OR(O145="",L145="",D145=""),"",IF(D145="做多",IF(O145&gt;L145,"Win",IF(O145&lt;L145,"Loss","BE")),IF(O145&lt;L145,"Win",IF(O145&gt;L145,"Loss","BE"))))</x:f>
      </x:c>
      <x:c r="Q145" s="228" t="str">
        <x:f>IF(OR(O145="",L145="",M145="",L145=M145,D145=""),"",IF(D145="做多",(O145-L145)/ABS(L145-M145),(L145-O145)/ABS(L145-M145)))</x:f>
      </x:c>
      <x:c r="R145" s="98"/>
      <x:c r="S145" s="98"/>
      <x:c r="T145" s="217"/>
    </x:row>
    <x:row r="146">
      <x:c r="A146" s="214"/>
      <x:c r="B146" s="223"/>
      <x:c r="C146" s="98"/>
      <x:c r="D146" s="98"/>
      <x:c r="E146" s="98"/>
      <x:c r="F146" s="98"/>
      <x:c r="G146" s="98"/>
      <x:c r="H146" s="98"/>
      <x:c r="I146" s="98"/>
      <x:c r="J146" s="98"/>
      <x:c r="K146" s="98"/>
      <x:c r="L146" s="225"/>
      <x:c r="M146" s="225"/>
      <x:c r="N146" s="225"/>
      <x:c r="O146" s="225"/>
      <x:c r="P146" s="220" t="str">
        <x:f>IF(OR(O146="",L146="",D146=""),"",IF(D146="做多",IF(O146&gt;L146,"Win",IF(O146&lt;L146,"Loss","BE")),IF(O146&lt;L146,"Win",IF(O146&gt;L146,"Loss","BE"))))</x:f>
      </x:c>
      <x:c r="Q146" s="228" t="str">
        <x:f>IF(OR(O146="",L146="",M146="",L146=M146,D146=""),"",IF(D146="做多",(O146-L146)/ABS(L146-M146),(L146-O146)/ABS(L146-M146)))</x:f>
      </x:c>
      <x:c r="R146" s="98"/>
      <x:c r="S146" s="98"/>
      <x:c r="T146" s="217"/>
    </x:row>
    <x:row r="147">
      <x:c r="A147" s="214"/>
      <x:c r="B147" s="223"/>
      <x:c r="C147" s="98"/>
      <x:c r="D147" s="98"/>
      <x:c r="E147" s="98"/>
      <x:c r="F147" s="98"/>
      <x:c r="G147" s="98"/>
      <x:c r="H147" s="98"/>
      <x:c r="I147" s="98"/>
      <x:c r="J147" s="98"/>
      <x:c r="K147" s="98"/>
      <x:c r="L147" s="225"/>
      <x:c r="M147" s="225"/>
      <x:c r="N147" s="225"/>
      <x:c r="O147" s="225"/>
      <x:c r="P147" s="220" t="str">
        <x:f>IF(OR(O147="",L147="",D147=""),"",IF(D147="做多",IF(O147&gt;L147,"Win",IF(O147&lt;L147,"Loss","BE")),IF(O147&lt;L147,"Win",IF(O147&gt;L147,"Loss","BE"))))</x:f>
      </x:c>
      <x:c r="Q147" s="228" t="str">
        <x:f>IF(OR(O147="",L147="",M147="",L147=M147,D147=""),"",IF(D147="做多",(O147-L147)/ABS(L147-M147),(L147-O147)/ABS(L147-M147)))</x:f>
      </x:c>
      <x:c r="R147" s="98"/>
      <x:c r="S147" s="98"/>
      <x:c r="T147" s="217"/>
    </x:row>
    <x:row r="148">
      <x:c r="A148" s="214"/>
      <x:c r="B148" s="223"/>
      <x:c r="C148" s="98"/>
      <x:c r="D148" s="98"/>
      <x:c r="E148" s="98"/>
      <x:c r="F148" s="98"/>
      <x:c r="G148" s="98"/>
      <x:c r="H148" s="98"/>
      <x:c r="I148" s="98"/>
      <x:c r="J148" s="98"/>
      <x:c r="K148" s="98"/>
      <x:c r="L148" s="225"/>
      <x:c r="M148" s="225"/>
      <x:c r="N148" s="225"/>
      <x:c r="O148" s="225"/>
      <x:c r="P148" s="220" t="str">
        <x:f>IF(OR(O148="",L148="",D148=""),"",IF(D148="做多",IF(O148&gt;L148,"Win",IF(O148&lt;L148,"Loss","BE")),IF(O148&lt;L148,"Win",IF(O148&gt;L148,"Loss","BE"))))</x:f>
      </x:c>
      <x:c r="Q148" s="228" t="str">
        <x:f>IF(OR(O148="",L148="",M148="",L148=M148,D148=""),"",IF(D148="做多",(O148-L148)/ABS(L148-M148),(L148-O148)/ABS(L148-M148)))</x:f>
      </x:c>
      <x:c r="R148" s="98"/>
      <x:c r="S148" s="98"/>
      <x:c r="T148" s="217"/>
    </x:row>
    <x:row r="149">
      <x:c r="A149" s="214"/>
      <x:c r="B149" s="223"/>
      <x:c r="C149" s="98"/>
      <x:c r="D149" s="98"/>
      <x:c r="E149" s="98"/>
      <x:c r="F149" s="98"/>
      <x:c r="G149" s="98"/>
      <x:c r="H149" s="98"/>
      <x:c r="I149" s="98"/>
      <x:c r="J149" s="98"/>
      <x:c r="K149" s="98"/>
      <x:c r="L149" s="225"/>
      <x:c r="M149" s="225"/>
      <x:c r="N149" s="225"/>
      <x:c r="O149" s="225"/>
      <x:c r="P149" s="220" t="str">
        <x:f>IF(OR(O149="",L149="",D149=""),"",IF(D149="做多",IF(O149&gt;L149,"Win",IF(O149&lt;L149,"Loss","BE")),IF(O149&lt;L149,"Win",IF(O149&gt;L149,"Loss","BE"))))</x:f>
      </x:c>
      <x:c r="Q149" s="228" t="str">
        <x:f>IF(OR(O149="",L149="",M149="",L149=M149,D149=""),"",IF(D149="做多",(O149-L149)/ABS(L149-M149),(L149-O149)/ABS(L149-M149)))</x:f>
      </x:c>
      <x:c r="R149" s="98"/>
      <x:c r="S149" s="98"/>
      <x:c r="T149" s="217"/>
    </x:row>
    <x:row r="150">
      <x:c r="A150" s="214"/>
      <x:c r="B150" s="223"/>
      <x:c r="C150" s="98"/>
      <x:c r="D150" s="98"/>
      <x:c r="E150" s="98"/>
      <x:c r="F150" s="98"/>
      <x:c r="G150" s="98"/>
      <x:c r="H150" s="98"/>
      <x:c r="I150" s="98"/>
      <x:c r="J150" s="98"/>
      <x:c r="K150" s="98"/>
      <x:c r="L150" s="225"/>
      <x:c r="M150" s="225"/>
      <x:c r="N150" s="225"/>
      <x:c r="O150" s="225"/>
      <x:c r="P150" s="220" t="str">
        <x:f>IF(OR(O150="",L150="",D150=""),"",IF(D150="做多",IF(O150&gt;L150,"Win",IF(O150&lt;L150,"Loss","BE")),IF(O150&lt;L150,"Win",IF(O150&gt;L150,"Loss","BE"))))</x:f>
      </x:c>
      <x:c r="Q150" s="228" t="str">
        <x:f>IF(OR(O150="",L150="",M150="",L150=M150,D150=""),"",IF(D150="做多",(O150-L150)/ABS(L150-M150),(L150-O150)/ABS(L150-M150)))</x:f>
      </x:c>
      <x:c r="R150" s="98"/>
      <x:c r="S150" s="98"/>
      <x:c r="T150" s="217"/>
    </x:row>
    <x:row r="151">
      <x:c r="A151" s="214"/>
      <x:c r="B151" s="223"/>
      <x:c r="C151" s="98"/>
      <x:c r="D151" s="98"/>
      <x:c r="E151" s="98"/>
      <x:c r="F151" s="98"/>
      <x:c r="G151" s="98"/>
      <x:c r="H151" s="98"/>
      <x:c r="I151" s="98"/>
      <x:c r="J151" s="98"/>
      <x:c r="K151" s="98"/>
      <x:c r="L151" s="225"/>
      <x:c r="M151" s="225"/>
      <x:c r="N151" s="225"/>
      <x:c r="O151" s="225"/>
      <x:c r="P151" s="220" t="str">
        <x:f>IF(OR(O151="",L151="",D151=""),"",IF(D151="做多",IF(O151&gt;L151,"Win",IF(O151&lt;L151,"Loss","BE")),IF(O151&lt;L151,"Win",IF(O151&gt;L151,"Loss","BE"))))</x:f>
      </x:c>
      <x:c r="Q151" s="228" t="str">
        <x:f>IF(OR(O151="",L151="",M151="",L151=M151,D151=""),"",IF(D151="做多",(O151-L151)/ABS(L151-M151),(L151-O151)/ABS(L151-M151)))</x:f>
      </x:c>
      <x:c r="R151" s="98"/>
      <x:c r="S151" s="98"/>
      <x:c r="T151" s="217"/>
    </x:row>
    <x:row r="152">
      <x:c r="A152" s="214"/>
      <x:c r="B152" s="223"/>
      <x:c r="C152" s="98"/>
      <x:c r="D152" s="98"/>
      <x:c r="E152" s="98"/>
      <x:c r="F152" s="98"/>
      <x:c r="G152" s="98"/>
      <x:c r="H152" s="98"/>
      <x:c r="I152" s="98"/>
      <x:c r="J152" s="98"/>
      <x:c r="K152" s="98"/>
      <x:c r="L152" s="225"/>
      <x:c r="M152" s="225"/>
      <x:c r="N152" s="225"/>
      <x:c r="O152" s="225"/>
      <x:c r="P152" s="220" t="str">
        <x:f>IF(OR(O152="",L152="",D152=""),"",IF(D152="做多",IF(O152&gt;L152,"Win",IF(O152&lt;L152,"Loss","BE")),IF(O152&lt;L152,"Win",IF(O152&gt;L152,"Loss","BE"))))</x:f>
      </x:c>
      <x:c r="Q152" s="228" t="str">
        <x:f>IF(OR(O152="",L152="",M152="",L152=M152,D152=""),"",IF(D152="做多",(O152-L152)/ABS(L152-M152),(L152-O152)/ABS(L152-M152)))</x:f>
      </x:c>
      <x:c r="R152" s="98"/>
      <x:c r="S152" s="98"/>
      <x:c r="T152" s="217"/>
    </x:row>
    <x:row r="153">
      <x:c r="A153" s="214"/>
      <x:c r="B153" s="223"/>
      <x:c r="C153" s="98"/>
      <x:c r="D153" s="98"/>
      <x:c r="E153" s="98"/>
      <x:c r="F153" s="98"/>
      <x:c r="G153" s="98"/>
      <x:c r="H153" s="98"/>
      <x:c r="I153" s="98"/>
      <x:c r="J153" s="98"/>
      <x:c r="K153" s="98"/>
      <x:c r="L153" s="225"/>
      <x:c r="M153" s="225"/>
      <x:c r="N153" s="225"/>
      <x:c r="O153" s="225"/>
      <x:c r="P153" s="220" t="str">
        <x:f>IF(OR(O153="",L153="",D153=""),"",IF(D153="做多",IF(O153&gt;L153,"Win",IF(O153&lt;L153,"Loss","BE")),IF(O153&lt;L153,"Win",IF(O153&gt;L153,"Loss","BE"))))</x:f>
      </x:c>
      <x:c r="Q153" s="228" t="str">
        <x:f>IF(OR(O153="",L153="",M153="",L153=M153,D153=""),"",IF(D153="做多",(O153-L153)/ABS(L153-M153),(L153-O153)/ABS(L153-M153)))</x:f>
      </x:c>
      <x:c r="R153" s="98"/>
      <x:c r="S153" s="98"/>
      <x:c r="T153" s="217"/>
    </x:row>
    <x:row r="154">
      <x:c r="A154" s="214"/>
      <x:c r="B154" s="223"/>
      <x:c r="C154" s="98"/>
      <x:c r="D154" s="98"/>
      <x:c r="E154" s="98"/>
      <x:c r="F154" s="98"/>
      <x:c r="G154" s="98"/>
      <x:c r="H154" s="98"/>
      <x:c r="I154" s="98"/>
      <x:c r="J154" s="98"/>
      <x:c r="K154" s="98"/>
      <x:c r="L154" s="225"/>
      <x:c r="M154" s="225"/>
      <x:c r="N154" s="225"/>
      <x:c r="O154" s="225"/>
      <x:c r="P154" s="220" t="str">
        <x:f>IF(OR(O154="",L154="",D154=""),"",IF(D154="做多",IF(O154&gt;L154,"Win",IF(O154&lt;L154,"Loss","BE")),IF(O154&lt;L154,"Win",IF(O154&gt;L154,"Loss","BE"))))</x:f>
      </x:c>
      <x:c r="Q154" s="228" t="str">
        <x:f>IF(OR(O154="",L154="",M154="",L154=M154,D154=""),"",IF(D154="做多",(O154-L154)/ABS(L154-M154),(L154-O154)/ABS(L154-M154)))</x:f>
      </x:c>
      <x:c r="R154" s="98"/>
      <x:c r="S154" s="98"/>
      <x:c r="T154" s="217"/>
    </x:row>
    <x:row r="155">
      <x:c r="A155" s="214"/>
      <x:c r="B155" s="223"/>
      <x:c r="C155" s="98"/>
      <x:c r="D155" s="98"/>
      <x:c r="E155" s="98"/>
      <x:c r="F155" s="98"/>
      <x:c r="G155" s="98"/>
      <x:c r="H155" s="98"/>
      <x:c r="I155" s="98"/>
      <x:c r="J155" s="98"/>
      <x:c r="K155" s="98"/>
      <x:c r="L155" s="225"/>
      <x:c r="M155" s="225"/>
      <x:c r="N155" s="225"/>
      <x:c r="O155" s="225"/>
      <x:c r="P155" s="220" t="str">
        <x:f>IF(OR(O155="",L155="",D155=""),"",IF(D155="做多",IF(O155&gt;L155,"Win",IF(O155&lt;L155,"Loss","BE")),IF(O155&lt;L155,"Win",IF(O155&gt;L155,"Loss","BE"))))</x:f>
      </x:c>
      <x:c r="Q155" s="228" t="str">
        <x:f>IF(OR(O155="",L155="",M155="",L155=M155,D155=""),"",IF(D155="做多",(O155-L155)/ABS(L155-M155),(L155-O155)/ABS(L155-M155)))</x:f>
      </x:c>
      <x:c r="R155" s="98"/>
      <x:c r="S155" s="98"/>
      <x:c r="T155" s="217"/>
    </x:row>
    <x:row r="156">
      <x:c r="A156" s="214"/>
      <x:c r="B156" s="223"/>
      <x:c r="C156" s="98"/>
      <x:c r="D156" s="98"/>
      <x:c r="E156" s="98"/>
      <x:c r="F156" s="98"/>
      <x:c r="G156" s="98"/>
      <x:c r="H156" s="98"/>
      <x:c r="I156" s="98"/>
      <x:c r="J156" s="98"/>
      <x:c r="K156" s="98"/>
      <x:c r="L156" s="225"/>
      <x:c r="M156" s="225"/>
      <x:c r="N156" s="225"/>
      <x:c r="O156" s="225"/>
      <x:c r="P156" s="220" t="str">
        <x:f>IF(OR(O156="",L156="",D156=""),"",IF(D156="做多",IF(O156&gt;L156,"Win",IF(O156&lt;L156,"Loss","BE")),IF(O156&lt;L156,"Win",IF(O156&gt;L156,"Loss","BE"))))</x:f>
      </x:c>
      <x:c r="Q156" s="228" t="str">
        <x:f>IF(OR(O156="",L156="",M156="",L156=M156,D156=""),"",IF(D156="做多",(O156-L156)/ABS(L156-M156),(L156-O156)/ABS(L156-M156)))</x:f>
      </x:c>
      <x:c r="R156" s="98"/>
      <x:c r="S156" s="98"/>
      <x:c r="T156" s="217"/>
    </x:row>
    <x:row r="157">
      <x:c r="A157" s="214"/>
      <x:c r="B157" s="223"/>
      <x:c r="C157" s="98"/>
      <x:c r="D157" s="98"/>
      <x:c r="E157" s="98"/>
      <x:c r="F157" s="98"/>
      <x:c r="G157" s="98"/>
      <x:c r="H157" s="98"/>
      <x:c r="I157" s="98"/>
      <x:c r="J157" s="98"/>
      <x:c r="K157" s="98"/>
      <x:c r="L157" s="225"/>
      <x:c r="M157" s="225"/>
      <x:c r="N157" s="225"/>
      <x:c r="O157" s="225"/>
      <x:c r="P157" s="220" t="str">
        <x:f>IF(OR(O157="",L157="",D157=""),"",IF(D157="做多",IF(O157&gt;L157,"Win",IF(O157&lt;L157,"Loss","BE")),IF(O157&lt;L157,"Win",IF(O157&gt;L157,"Loss","BE"))))</x:f>
      </x:c>
      <x:c r="Q157" s="228" t="str">
        <x:f>IF(OR(O157="",L157="",M157="",L157=M157,D157=""),"",IF(D157="做多",(O157-L157)/ABS(L157-M157),(L157-O157)/ABS(L157-M157)))</x:f>
      </x:c>
      <x:c r="R157" s="98"/>
      <x:c r="S157" s="98"/>
      <x:c r="T157" s="217"/>
    </x:row>
    <x:row r="158">
      <x:c r="A158" s="214"/>
      <x:c r="B158" s="223"/>
      <x:c r="C158" s="98"/>
      <x:c r="D158" s="98"/>
      <x:c r="E158" s="98"/>
      <x:c r="F158" s="98"/>
      <x:c r="G158" s="98"/>
      <x:c r="H158" s="98"/>
      <x:c r="I158" s="98"/>
      <x:c r="J158" s="98"/>
      <x:c r="K158" s="98"/>
      <x:c r="L158" s="225"/>
      <x:c r="M158" s="225"/>
      <x:c r="N158" s="225"/>
      <x:c r="O158" s="225"/>
      <x:c r="P158" s="220" t="str">
        <x:f>IF(OR(O158="",L158="",D158=""),"",IF(D158="做多",IF(O158&gt;L158,"Win",IF(O158&lt;L158,"Loss","BE")),IF(O158&lt;L158,"Win",IF(O158&gt;L158,"Loss","BE"))))</x:f>
      </x:c>
      <x:c r="Q158" s="228" t="str">
        <x:f>IF(OR(O158="",L158="",M158="",L158=M158,D158=""),"",IF(D158="做多",(O158-L158)/ABS(L158-M158),(L158-O158)/ABS(L158-M158)))</x:f>
      </x:c>
      <x:c r="R158" s="98"/>
      <x:c r="S158" s="98"/>
      <x:c r="T158" s="217"/>
    </x:row>
    <x:row r="159">
      <x:c r="A159" s="214"/>
      <x:c r="B159" s="223"/>
      <x:c r="C159" s="98"/>
      <x:c r="D159" s="98"/>
      <x:c r="E159" s="98"/>
      <x:c r="F159" s="98"/>
      <x:c r="G159" s="98"/>
      <x:c r="H159" s="98"/>
      <x:c r="I159" s="98"/>
      <x:c r="J159" s="98"/>
      <x:c r="K159" s="98"/>
      <x:c r="L159" s="225"/>
      <x:c r="M159" s="225"/>
      <x:c r="N159" s="225"/>
      <x:c r="O159" s="225"/>
      <x:c r="P159" s="220" t="str">
        <x:f>IF(OR(O159="",L159="",D159=""),"",IF(D159="做多",IF(O159&gt;L159,"Win",IF(O159&lt;L159,"Loss","BE")),IF(O159&lt;L159,"Win",IF(O159&gt;L159,"Loss","BE"))))</x:f>
      </x:c>
      <x:c r="Q159" s="228" t="str">
        <x:f>IF(OR(O159="",L159="",M159="",L159=M159,D159=""),"",IF(D159="做多",(O159-L159)/ABS(L159-M159),(L159-O159)/ABS(L159-M159)))</x:f>
      </x:c>
      <x:c r="R159" s="98"/>
      <x:c r="S159" s="98"/>
      <x:c r="T159" s="217"/>
    </x:row>
    <x:row r="160">
      <x:c r="A160" s="214"/>
      <x:c r="B160" s="223"/>
      <x:c r="C160" s="98"/>
      <x:c r="D160" s="98"/>
      <x:c r="E160" s="98"/>
      <x:c r="F160" s="98"/>
      <x:c r="G160" s="98"/>
      <x:c r="H160" s="98"/>
      <x:c r="I160" s="98"/>
      <x:c r="J160" s="98"/>
      <x:c r="K160" s="98"/>
      <x:c r="L160" s="225"/>
      <x:c r="M160" s="225"/>
      <x:c r="N160" s="225"/>
      <x:c r="O160" s="225"/>
      <x:c r="P160" s="220" t="str">
        <x:f>IF(OR(O160="",L160="",D160=""),"",IF(D160="做多",IF(O160&gt;L160,"Win",IF(O160&lt;L160,"Loss","BE")),IF(O160&lt;L160,"Win",IF(O160&gt;L160,"Loss","BE"))))</x:f>
      </x:c>
      <x:c r="Q160" s="228" t="str">
        <x:f>IF(OR(O160="",L160="",M160="",L160=M160,D160=""),"",IF(D160="做多",(O160-L160)/ABS(L160-M160),(L160-O160)/ABS(L160-M160)))</x:f>
      </x:c>
      <x:c r="R160" s="98"/>
      <x:c r="S160" s="98"/>
      <x:c r="T160" s="217"/>
    </x:row>
    <x:row r="161">
      <x:c r="A161" s="214"/>
      <x:c r="B161" s="223"/>
      <x:c r="C161" s="98"/>
      <x:c r="D161" s="98"/>
      <x:c r="E161" s="98"/>
      <x:c r="F161" s="98"/>
      <x:c r="G161" s="98"/>
      <x:c r="H161" s="98"/>
      <x:c r="I161" s="98"/>
      <x:c r="J161" s="98"/>
      <x:c r="K161" s="98"/>
      <x:c r="L161" s="225"/>
      <x:c r="M161" s="225"/>
      <x:c r="N161" s="225"/>
      <x:c r="O161" s="225"/>
      <x:c r="P161" s="220" t="str">
        <x:f>IF(OR(O161="",L161="",D161=""),"",IF(D161="做多",IF(O161&gt;L161,"Win",IF(O161&lt;L161,"Loss","BE")),IF(O161&lt;L161,"Win",IF(O161&gt;L161,"Loss","BE"))))</x:f>
      </x:c>
      <x:c r="Q161" s="228" t="str">
        <x:f>IF(OR(O161="",L161="",M161="",L161=M161,D161=""),"",IF(D161="做多",(O161-L161)/ABS(L161-M161),(L161-O161)/ABS(L161-M161)))</x:f>
      </x:c>
      <x:c r="R161" s="98"/>
      <x:c r="S161" s="98"/>
      <x:c r="T161" s="217"/>
    </x:row>
    <x:row r="162">
      <x:c r="A162" s="214"/>
      <x:c r="B162" s="223"/>
      <x:c r="C162" s="98"/>
      <x:c r="D162" s="98"/>
      <x:c r="E162" s="98"/>
      <x:c r="F162" s="98"/>
      <x:c r="G162" s="98"/>
      <x:c r="H162" s="98"/>
      <x:c r="I162" s="98"/>
      <x:c r="J162" s="98"/>
      <x:c r="K162" s="98"/>
      <x:c r="L162" s="225"/>
      <x:c r="M162" s="225"/>
      <x:c r="N162" s="225"/>
      <x:c r="O162" s="225"/>
      <x:c r="P162" s="220" t="str">
        <x:f>IF(OR(O162="",L162="",D162=""),"",IF(D162="做多",IF(O162&gt;L162,"Win",IF(O162&lt;L162,"Loss","BE")),IF(O162&lt;L162,"Win",IF(O162&gt;L162,"Loss","BE"))))</x:f>
      </x:c>
      <x:c r="Q162" s="228" t="str">
        <x:f>IF(OR(O162="",L162="",M162="",L162=M162,D162=""),"",IF(D162="做多",(O162-L162)/ABS(L162-M162),(L162-O162)/ABS(L162-M162)))</x:f>
      </x:c>
      <x:c r="R162" s="98"/>
      <x:c r="S162" s="98"/>
      <x:c r="T162" s="217"/>
    </x:row>
    <x:row r="163">
      <x:c r="A163" s="214"/>
      <x:c r="B163" s="223"/>
      <x:c r="C163" s="98"/>
      <x:c r="D163" s="98"/>
      <x:c r="E163" s="98"/>
      <x:c r="F163" s="98"/>
      <x:c r="G163" s="98"/>
      <x:c r="H163" s="98"/>
      <x:c r="I163" s="98"/>
      <x:c r="J163" s="98"/>
      <x:c r="K163" s="98"/>
      <x:c r="L163" s="225"/>
      <x:c r="M163" s="225"/>
      <x:c r="N163" s="225"/>
      <x:c r="O163" s="225"/>
      <x:c r="P163" s="220" t="str">
        <x:f>IF(OR(O163="",L163="",D163=""),"",IF(D163="做多",IF(O163&gt;L163,"Win",IF(O163&lt;L163,"Loss","BE")),IF(O163&lt;L163,"Win",IF(O163&gt;L163,"Loss","BE"))))</x:f>
      </x:c>
      <x:c r="Q163" s="228" t="str">
        <x:f>IF(OR(O163="",L163="",M163="",L163=M163,D163=""),"",IF(D163="做多",(O163-L163)/ABS(L163-M163),(L163-O163)/ABS(L163-M163)))</x:f>
      </x:c>
      <x:c r="R163" s="98"/>
      <x:c r="S163" s="98"/>
      <x:c r="T163" s="217"/>
    </x:row>
    <x:row r="164">
      <x:c r="A164" s="214"/>
      <x:c r="B164" s="223"/>
      <x:c r="C164" s="98"/>
      <x:c r="D164" s="98"/>
      <x:c r="E164" s="98"/>
      <x:c r="F164" s="98"/>
      <x:c r="G164" s="98"/>
      <x:c r="H164" s="98"/>
      <x:c r="I164" s="98"/>
      <x:c r="J164" s="98"/>
      <x:c r="K164" s="98"/>
      <x:c r="L164" s="225"/>
      <x:c r="M164" s="225"/>
      <x:c r="N164" s="225"/>
      <x:c r="O164" s="225"/>
      <x:c r="P164" s="220" t="str">
        <x:f>IF(OR(O164="",L164="",D164=""),"",IF(D164="做多",IF(O164&gt;L164,"Win",IF(O164&lt;L164,"Loss","BE")),IF(O164&lt;L164,"Win",IF(O164&gt;L164,"Loss","BE"))))</x:f>
      </x:c>
      <x:c r="Q164" s="228" t="str">
        <x:f>IF(OR(O164="",L164="",M164="",L164=M164,D164=""),"",IF(D164="做多",(O164-L164)/ABS(L164-M164),(L164-O164)/ABS(L164-M164)))</x:f>
      </x:c>
      <x:c r="R164" s="98"/>
      <x:c r="S164" s="98"/>
      <x:c r="T164" s="217"/>
    </x:row>
    <x:row r="165">
      <x:c r="A165" s="214"/>
      <x:c r="B165" s="223"/>
      <x:c r="C165" s="98"/>
      <x:c r="D165" s="98"/>
      <x:c r="E165" s="98"/>
      <x:c r="F165" s="98"/>
      <x:c r="G165" s="98"/>
      <x:c r="H165" s="98"/>
      <x:c r="I165" s="98"/>
      <x:c r="J165" s="98"/>
      <x:c r="K165" s="98"/>
      <x:c r="L165" s="225"/>
      <x:c r="M165" s="225"/>
      <x:c r="N165" s="225"/>
      <x:c r="O165" s="225"/>
      <x:c r="P165" s="220" t="str">
        <x:f>IF(OR(O165="",L165="",D165=""),"",IF(D165="做多",IF(O165&gt;L165,"Win",IF(O165&lt;L165,"Loss","BE")),IF(O165&lt;L165,"Win",IF(O165&gt;L165,"Loss","BE"))))</x:f>
      </x:c>
      <x:c r="Q165" s="228" t="str">
        <x:f>IF(OR(O165="",L165="",M165="",L165=M165,D165=""),"",IF(D165="做多",(O165-L165)/ABS(L165-M165),(L165-O165)/ABS(L165-M165)))</x:f>
      </x:c>
      <x:c r="R165" s="98"/>
      <x:c r="S165" s="98"/>
      <x:c r="T165" s="217"/>
    </x:row>
    <x:row r="166">
      <x:c r="A166" s="214"/>
      <x:c r="B166" s="223"/>
      <x:c r="C166" s="98"/>
      <x:c r="D166" s="98"/>
      <x:c r="E166" s="98"/>
      <x:c r="F166" s="98"/>
      <x:c r="G166" s="98"/>
      <x:c r="H166" s="98"/>
      <x:c r="I166" s="98"/>
      <x:c r="J166" s="98"/>
      <x:c r="K166" s="98"/>
      <x:c r="L166" s="225"/>
      <x:c r="M166" s="225"/>
      <x:c r="N166" s="225"/>
      <x:c r="O166" s="225"/>
      <x:c r="P166" s="220" t="str">
        <x:f>IF(OR(O166="",L166="",D166=""),"",IF(D166="做多",IF(O166&gt;L166,"Win",IF(O166&lt;L166,"Loss","BE")),IF(O166&lt;L166,"Win",IF(O166&gt;L166,"Loss","BE"))))</x:f>
      </x:c>
      <x:c r="Q166" s="228" t="str">
        <x:f>IF(OR(O166="",L166="",M166="",L166=M166,D166=""),"",IF(D166="做多",(O166-L166)/ABS(L166-M166),(L166-O166)/ABS(L166-M166)))</x:f>
      </x:c>
      <x:c r="R166" s="98"/>
      <x:c r="S166" s="98"/>
      <x:c r="T166" s="217"/>
    </x:row>
    <x:row r="167">
      <x:c r="A167" s="214"/>
      <x:c r="B167" s="223"/>
      <x:c r="C167" s="98"/>
      <x:c r="D167" s="98"/>
      <x:c r="E167" s="98"/>
      <x:c r="F167" s="98"/>
      <x:c r="G167" s="98"/>
      <x:c r="H167" s="98"/>
      <x:c r="I167" s="98"/>
      <x:c r="J167" s="98"/>
      <x:c r="K167" s="98"/>
      <x:c r="L167" s="225"/>
      <x:c r="M167" s="225"/>
      <x:c r="N167" s="225"/>
      <x:c r="O167" s="225"/>
      <x:c r="P167" s="220" t="str">
        <x:f>IF(OR(O167="",L167="",D167=""),"",IF(D167="做多",IF(O167&gt;L167,"Win",IF(O167&lt;L167,"Loss","BE")),IF(O167&lt;L167,"Win",IF(O167&gt;L167,"Loss","BE"))))</x:f>
      </x:c>
      <x:c r="Q167" s="228" t="str">
        <x:f>IF(OR(O167="",L167="",M167="",L167=M167,D167=""),"",IF(D167="做多",(O167-L167)/ABS(L167-M167),(L167-O167)/ABS(L167-M167)))</x:f>
      </x:c>
      <x:c r="R167" s="98"/>
      <x:c r="S167" s="98"/>
      <x:c r="T167" s="217"/>
    </x:row>
    <x:row r="168">
      <x:c r="A168" s="214"/>
      <x:c r="B168" s="223"/>
      <x:c r="C168" s="98"/>
      <x:c r="D168" s="98"/>
      <x:c r="E168" s="98"/>
      <x:c r="F168" s="98"/>
      <x:c r="G168" s="98"/>
      <x:c r="H168" s="98"/>
      <x:c r="I168" s="98"/>
      <x:c r="J168" s="98"/>
      <x:c r="K168" s="98"/>
      <x:c r="L168" s="225"/>
      <x:c r="M168" s="225"/>
      <x:c r="N168" s="225"/>
      <x:c r="O168" s="225"/>
      <x:c r="P168" s="220" t="str">
        <x:f>IF(OR(O168="",L168="",D168=""),"",IF(D168="做多",IF(O168&gt;L168,"Win",IF(O168&lt;L168,"Loss","BE")),IF(O168&lt;L168,"Win",IF(O168&gt;L168,"Loss","BE"))))</x:f>
      </x:c>
      <x:c r="Q168" s="228" t="str">
        <x:f>IF(OR(O168="",L168="",M168="",L168=M168,D168=""),"",IF(D168="做多",(O168-L168)/ABS(L168-M168),(L168-O168)/ABS(L168-M168)))</x:f>
      </x:c>
      <x:c r="R168" s="98"/>
      <x:c r="S168" s="98"/>
      <x:c r="T168" s="217"/>
    </x:row>
    <x:row r="169">
      <x:c r="A169" s="214"/>
      <x:c r="B169" s="223"/>
      <x:c r="C169" s="98"/>
      <x:c r="D169" s="98"/>
      <x:c r="E169" s="98"/>
      <x:c r="F169" s="98"/>
      <x:c r="G169" s="98"/>
      <x:c r="H169" s="98"/>
      <x:c r="I169" s="98"/>
      <x:c r="J169" s="98"/>
      <x:c r="K169" s="98"/>
      <x:c r="L169" s="225"/>
      <x:c r="M169" s="225"/>
      <x:c r="N169" s="225"/>
      <x:c r="O169" s="225"/>
      <x:c r="P169" s="220" t="str">
        <x:f>IF(OR(O169="",L169="",D169=""),"",IF(D169="做多",IF(O169&gt;L169,"Win",IF(O169&lt;L169,"Loss","BE")),IF(O169&lt;L169,"Win",IF(O169&gt;L169,"Loss","BE"))))</x:f>
      </x:c>
      <x:c r="Q169" s="228" t="str">
        <x:f>IF(OR(O169="",L169="",M169="",L169=M169,D169=""),"",IF(D169="做多",(O169-L169)/ABS(L169-M169),(L169-O169)/ABS(L169-M169)))</x:f>
      </x:c>
      <x:c r="R169" s="98"/>
      <x:c r="S169" s="98"/>
      <x:c r="T169" s="217"/>
    </x:row>
    <x:row r="170">
      <x:c r="A170" s="214"/>
      <x:c r="B170" s="223"/>
      <x:c r="C170" s="98"/>
      <x:c r="D170" s="98"/>
      <x:c r="E170" s="98"/>
      <x:c r="F170" s="98"/>
      <x:c r="G170" s="98"/>
      <x:c r="H170" s="98"/>
      <x:c r="I170" s="98"/>
      <x:c r="J170" s="98"/>
      <x:c r="K170" s="98"/>
      <x:c r="L170" s="225"/>
      <x:c r="M170" s="225"/>
      <x:c r="N170" s="225"/>
      <x:c r="O170" s="225"/>
      <x:c r="P170" s="220" t="str">
        <x:f>IF(OR(O170="",L170="",D170=""),"",IF(D170="做多",IF(O170&gt;L170,"Win",IF(O170&lt;L170,"Loss","BE")),IF(O170&lt;L170,"Win",IF(O170&gt;L170,"Loss","BE"))))</x:f>
      </x:c>
      <x:c r="Q170" s="228" t="str">
        <x:f>IF(OR(O170="",L170="",M170="",L170=M170,D170=""),"",IF(D170="做多",(O170-L170)/ABS(L170-M170),(L170-O170)/ABS(L170-M170)))</x:f>
      </x:c>
      <x:c r="R170" s="98"/>
      <x:c r="S170" s="98"/>
      <x:c r="T170" s="217"/>
    </x:row>
    <x:row r="171">
      <x:c r="A171" s="214"/>
      <x:c r="B171" s="223"/>
      <x:c r="C171" s="98"/>
      <x:c r="D171" s="98"/>
      <x:c r="E171" s="98"/>
      <x:c r="F171" s="98"/>
      <x:c r="G171" s="98"/>
      <x:c r="H171" s="98"/>
      <x:c r="I171" s="98"/>
      <x:c r="J171" s="98"/>
      <x:c r="K171" s="98"/>
      <x:c r="L171" s="225"/>
      <x:c r="M171" s="225"/>
      <x:c r="N171" s="225"/>
      <x:c r="O171" s="225"/>
      <x:c r="P171" s="220" t="str">
        <x:f>IF(OR(O171="",L171="",D171=""),"",IF(D171="做多",IF(O171&gt;L171,"Win",IF(O171&lt;L171,"Loss","BE")),IF(O171&lt;L171,"Win",IF(O171&gt;L171,"Loss","BE"))))</x:f>
      </x:c>
      <x:c r="Q171" s="228" t="str">
        <x:f>IF(OR(O171="",L171="",M171="",L171=M171,D171=""),"",IF(D171="做多",(O171-L171)/ABS(L171-M171),(L171-O171)/ABS(L171-M171)))</x:f>
      </x:c>
      <x:c r="R171" s="98"/>
      <x:c r="S171" s="98"/>
      <x:c r="T171" s="217"/>
    </x:row>
    <x:row r="172">
      <x:c r="A172" s="214"/>
      <x:c r="B172" s="223"/>
      <x:c r="C172" s="98"/>
      <x:c r="D172" s="98"/>
      <x:c r="E172" s="98"/>
      <x:c r="F172" s="98"/>
      <x:c r="G172" s="98"/>
      <x:c r="H172" s="98"/>
      <x:c r="I172" s="98"/>
      <x:c r="J172" s="98"/>
      <x:c r="K172" s="98"/>
      <x:c r="L172" s="225"/>
      <x:c r="M172" s="225"/>
      <x:c r="N172" s="225"/>
      <x:c r="O172" s="225"/>
      <x:c r="P172" s="220" t="str">
        <x:f>IF(OR(O172="",L172="",D172=""),"",IF(D172="做多",IF(O172&gt;L172,"Win",IF(O172&lt;L172,"Loss","BE")),IF(O172&lt;L172,"Win",IF(O172&gt;L172,"Loss","BE"))))</x:f>
      </x:c>
      <x:c r="Q172" s="228" t="str">
        <x:f>IF(OR(O172="",L172="",M172="",L172=M172,D172=""),"",IF(D172="做多",(O172-L172)/ABS(L172-M172),(L172-O172)/ABS(L172-M172)))</x:f>
      </x:c>
      <x:c r="R172" s="98"/>
      <x:c r="S172" s="98"/>
      <x:c r="T172" s="217"/>
    </x:row>
    <x:row r="173">
      <x:c r="A173" s="214"/>
      <x:c r="B173" s="223"/>
      <x:c r="C173" s="98"/>
      <x:c r="D173" s="98"/>
      <x:c r="E173" s="98"/>
      <x:c r="F173" s="98"/>
      <x:c r="G173" s="98"/>
      <x:c r="H173" s="98"/>
      <x:c r="I173" s="98"/>
      <x:c r="J173" s="98"/>
      <x:c r="K173" s="98"/>
      <x:c r="L173" s="225"/>
      <x:c r="M173" s="225"/>
      <x:c r="N173" s="225"/>
      <x:c r="O173" s="225"/>
      <x:c r="P173" s="220" t="str">
        <x:f>IF(OR(O173="",L173="",D173=""),"",IF(D173="做多",IF(O173&gt;L173,"Win",IF(O173&lt;L173,"Loss","BE")),IF(O173&lt;L173,"Win",IF(O173&gt;L173,"Loss","BE"))))</x:f>
      </x:c>
      <x:c r="Q173" s="228" t="str">
        <x:f>IF(OR(O173="",L173="",M173="",L173=M173,D173=""),"",IF(D173="做多",(O173-L173)/ABS(L173-M173),(L173-O173)/ABS(L173-M173)))</x:f>
      </x:c>
      <x:c r="R173" s="98"/>
      <x:c r="S173" s="98"/>
      <x:c r="T173" s="217"/>
    </x:row>
    <x:row r="174">
      <x:c r="A174" s="214"/>
      <x:c r="B174" s="223"/>
      <x:c r="C174" s="98"/>
      <x:c r="D174" s="98"/>
      <x:c r="E174" s="98"/>
      <x:c r="F174" s="98"/>
      <x:c r="G174" s="98"/>
      <x:c r="H174" s="98"/>
      <x:c r="I174" s="98"/>
      <x:c r="J174" s="98"/>
      <x:c r="K174" s="98"/>
      <x:c r="L174" s="225"/>
      <x:c r="M174" s="225"/>
      <x:c r="N174" s="225"/>
      <x:c r="O174" s="225"/>
      <x:c r="P174" s="220" t="str">
        <x:f>IF(OR(O174="",L174="",D174=""),"",IF(D174="做多",IF(O174&gt;L174,"Win",IF(O174&lt;L174,"Loss","BE")),IF(O174&lt;L174,"Win",IF(O174&gt;L174,"Loss","BE"))))</x:f>
      </x:c>
      <x:c r="Q174" s="228" t="str">
        <x:f>IF(OR(O174="",L174="",M174="",L174=M174,D174=""),"",IF(D174="做多",(O174-L174)/ABS(L174-M174),(L174-O174)/ABS(L174-M174)))</x:f>
      </x:c>
      <x:c r="R174" s="98"/>
      <x:c r="S174" s="98"/>
      <x:c r="T174" s="217"/>
    </x:row>
    <x:row r="175">
      <x:c r="A175" s="214"/>
      <x:c r="B175" s="223"/>
      <x:c r="C175" s="98"/>
      <x:c r="D175" s="98"/>
      <x:c r="E175" s="98"/>
      <x:c r="F175" s="98"/>
      <x:c r="G175" s="98"/>
      <x:c r="H175" s="98"/>
      <x:c r="I175" s="98"/>
      <x:c r="J175" s="98"/>
      <x:c r="K175" s="98"/>
      <x:c r="L175" s="225"/>
      <x:c r="M175" s="225"/>
      <x:c r="N175" s="225"/>
      <x:c r="O175" s="225"/>
      <x:c r="P175" s="220" t="str">
        <x:f>IF(OR(O175="",L175="",D175=""),"",IF(D175="做多",IF(O175&gt;L175,"Win",IF(O175&lt;L175,"Loss","BE")),IF(O175&lt;L175,"Win",IF(O175&gt;L175,"Loss","BE"))))</x:f>
      </x:c>
      <x:c r="Q175" s="228" t="str">
        <x:f>IF(OR(O175="",L175="",M175="",L175=M175,D175=""),"",IF(D175="做多",(O175-L175)/ABS(L175-M175),(L175-O175)/ABS(L175-M175)))</x:f>
      </x:c>
      <x:c r="R175" s="98"/>
      <x:c r="S175" s="98"/>
      <x:c r="T175" s="217"/>
    </x:row>
    <x:row r="176">
      <x:c r="A176" s="214"/>
      <x:c r="B176" s="223"/>
      <x:c r="C176" s="98"/>
      <x:c r="D176" s="98"/>
      <x:c r="E176" s="98"/>
      <x:c r="F176" s="98"/>
      <x:c r="G176" s="98"/>
      <x:c r="H176" s="98"/>
      <x:c r="I176" s="98"/>
      <x:c r="J176" s="98"/>
      <x:c r="K176" s="98"/>
      <x:c r="L176" s="225"/>
      <x:c r="M176" s="225"/>
      <x:c r="N176" s="225"/>
      <x:c r="O176" s="225"/>
      <x:c r="P176" s="220" t="str">
        <x:f>IF(OR(O176="",L176="",D176=""),"",IF(D176="做多",IF(O176&gt;L176,"Win",IF(O176&lt;L176,"Loss","BE")),IF(O176&lt;L176,"Win",IF(O176&gt;L176,"Loss","BE"))))</x:f>
      </x:c>
      <x:c r="Q176" s="228" t="str">
        <x:f>IF(OR(O176="",L176="",M176="",L176=M176,D176=""),"",IF(D176="做多",(O176-L176)/ABS(L176-M176),(L176-O176)/ABS(L176-M176)))</x:f>
      </x:c>
      <x:c r="R176" s="98"/>
      <x:c r="S176" s="98"/>
      <x:c r="T176" s="217"/>
    </x:row>
    <x:row r="177">
      <x:c r="A177" s="214"/>
      <x:c r="B177" s="223"/>
      <x:c r="C177" s="98"/>
      <x:c r="D177" s="98"/>
      <x:c r="E177" s="98"/>
      <x:c r="F177" s="98"/>
      <x:c r="G177" s="98"/>
      <x:c r="H177" s="98"/>
      <x:c r="I177" s="98"/>
      <x:c r="J177" s="98"/>
      <x:c r="K177" s="98"/>
      <x:c r="L177" s="225"/>
      <x:c r="M177" s="225"/>
      <x:c r="N177" s="225"/>
      <x:c r="O177" s="225"/>
      <x:c r="P177" s="220" t="str">
        <x:f>IF(OR(O177="",L177="",D177=""),"",IF(D177="做多",IF(O177&gt;L177,"Win",IF(O177&lt;L177,"Loss","BE")),IF(O177&lt;L177,"Win",IF(O177&gt;L177,"Loss","BE"))))</x:f>
      </x:c>
      <x:c r="Q177" s="228" t="str">
        <x:f>IF(OR(O177="",L177="",M177="",L177=M177,D177=""),"",IF(D177="做多",(O177-L177)/ABS(L177-M177),(L177-O177)/ABS(L177-M177)))</x:f>
      </x:c>
      <x:c r="R177" s="98"/>
      <x:c r="S177" s="98"/>
      <x:c r="T177" s="217"/>
    </x:row>
    <x:row r="178">
      <x:c r="A178" s="214"/>
      <x:c r="B178" s="223"/>
      <x:c r="C178" s="98"/>
      <x:c r="D178" s="98"/>
      <x:c r="E178" s="98"/>
      <x:c r="F178" s="98"/>
      <x:c r="G178" s="98"/>
      <x:c r="H178" s="98"/>
      <x:c r="I178" s="98"/>
      <x:c r="J178" s="98"/>
      <x:c r="K178" s="98"/>
      <x:c r="L178" s="225"/>
      <x:c r="M178" s="225"/>
      <x:c r="N178" s="225"/>
      <x:c r="O178" s="225"/>
      <x:c r="P178" s="220" t="str">
        <x:f>IF(OR(O178="",L178="",D178=""),"",IF(D178="做多",IF(O178&gt;L178,"Win",IF(O178&lt;L178,"Loss","BE")),IF(O178&lt;L178,"Win",IF(O178&gt;L178,"Loss","BE"))))</x:f>
      </x:c>
      <x:c r="Q178" s="228" t="str">
        <x:f>IF(OR(O178="",L178="",M178="",L178=M178,D178=""),"",IF(D178="做多",(O178-L178)/ABS(L178-M178),(L178-O178)/ABS(L178-M178)))</x:f>
      </x:c>
      <x:c r="R178" s="98"/>
      <x:c r="S178" s="98"/>
      <x:c r="T178" s="217"/>
    </x:row>
    <x:row r="179">
      <x:c r="A179" s="214"/>
      <x:c r="B179" s="223"/>
      <x:c r="C179" s="98"/>
      <x:c r="D179" s="98"/>
      <x:c r="E179" s="98"/>
      <x:c r="F179" s="98"/>
      <x:c r="G179" s="98"/>
      <x:c r="H179" s="98"/>
      <x:c r="I179" s="98"/>
      <x:c r="J179" s="98"/>
      <x:c r="K179" s="98"/>
      <x:c r="L179" s="225"/>
      <x:c r="M179" s="225"/>
      <x:c r="N179" s="225"/>
      <x:c r="O179" s="225"/>
      <x:c r="P179" s="220" t="str">
        <x:f>IF(OR(O179="",L179="",D179=""),"",IF(D179="做多",IF(O179&gt;L179,"Win",IF(O179&lt;L179,"Loss","BE")),IF(O179&lt;L179,"Win",IF(O179&gt;L179,"Loss","BE"))))</x:f>
      </x:c>
      <x:c r="Q179" s="228" t="str">
        <x:f>IF(OR(O179="",L179="",M179="",L179=M179,D179=""),"",IF(D179="做多",(O179-L179)/ABS(L179-M179),(L179-O179)/ABS(L179-M179)))</x:f>
      </x:c>
      <x:c r="R179" s="98"/>
      <x:c r="S179" s="98"/>
      <x:c r="T179" s="217"/>
    </x:row>
    <x:row r="180">
      <x:c r="A180" s="214"/>
      <x:c r="B180" s="223"/>
      <x:c r="C180" s="98"/>
      <x:c r="D180" s="98"/>
      <x:c r="E180" s="98"/>
      <x:c r="F180" s="98"/>
      <x:c r="G180" s="98"/>
      <x:c r="H180" s="98"/>
      <x:c r="I180" s="98"/>
      <x:c r="J180" s="98"/>
      <x:c r="K180" s="98"/>
      <x:c r="L180" s="225"/>
      <x:c r="M180" s="225"/>
      <x:c r="N180" s="225"/>
      <x:c r="O180" s="225"/>
      <x:c r="P180" s="220" t="str">
        <x:f>IF(OR(O180="",L180="",D180=""),"",IF(D180="做多",IF(O180&gt;L180,"Win",IF(O180&lt;L180,"Loss","BE")),IF(O180&lt;L180,"Win",IF(O180&gt;L180,"Loss","BE"))))</x:f>
      </x:c>
      <x:c r="Q180" s="228" t="str">
        <x:f>IF(OR(O180="",L180="",M180="",L180=M180,D180=""),"",IF(D180="做多",(O180-L180)/ABS(L180-M180),(L180-O180)/ABS(L180-M180)))</x:f>
      </x:c>
      <x:c r="R180" s="98"/>
      <x:c r="S180" s="98"/>
      <x:c r="T180" s="217"/>
    </x:row>
    <x:row r="181">
      <x:c r="A181" s="214"/>
      <x:c r="B181" s="223"/>
      <x:c r="C181" s="98"/>
      <x:c r="D181" s="98"/>
      <x:c r="E181" s="98"/>
      <x:c r="F181" s="98"/>
      <x:c r="G181" s="98"/>
      <x:c r="H181" s="98"/>
      <x:c r="I181" s="98"/>
      <x:c r="J181" s="98"/>
      <x:c r="K181" s="98"/>
      <x:c r="L181" s="225"/>
      <x:c r="M181" s="225"/>
      <x:c r="N181" s="225"/>
      <x:c r="O181" s="225"/>
      <x:c r="P181" s="220" t="str">
        <x:f>IF(OR(O181="",L181="",D181=""),"",IF(D181="做多",IF(O181&gt;L181,"Win",IF(O181&lt;L181,"Loss","BE")),IF(O181&lt;L181,"Win",IF(O181&gt;L181,"Loss","BE"))))</x:f>
      </x:c>
      <x:c r="Q181" s="228" t="str">
        <x:f>IF(OR(O181="",L181="",M181="",L181=M181,D181=""),"",IF(D181="做多",(O181-L181)/ABS(L181-M181),(L181-O181)/ABS(L181-M181)))</x:f>
      </x:c>
      <x:c r="R181" s="98"/>
      <x:c r="S181" s="98"/>
      <x:c r="T181" s="217"/>
    </x:row>
    <x:row r="182">
      <x:c r="A182" s="214"/>
      <x:c r="B182" s="223"/>
      <x:c r="C182" s="98"/>
      <x:c r="D182" s="98"/>
      <x:c r="E182" s="98"/>
      <x:c r="F182" s="98"/>
      <x:c r="G182" s="98"/>
      <x:c r="H182" s="98"/>
      <x:c r="I182" s="98"/>
      <x:c r="J182" s="98"/>
      <x:c r="K182" s="98"/>
      <x:c r="L182" s="225"/>
      <x:c r="M182" s="225"/>
      <x:c r="N182" s="225"/>
      <x:c r="O182" s="225"/>
      <x:c r="P182" s="220" t="str">
        <x:f>IF(OR(O182="",L182="",D182=""),"",IF(D182="做多",IF(O182&gt;L182,"Win",IF(O182&lt;L182,"Loss","BE")),IF(O182&lt;L182,"Win",IF(O182&gt;L182,"Loss","BE"))))</x:f>
      </x:c>
      <x:c r="Q182" s="228" t="str">
        <x:f>IF(OR(O182="",L182="",M182="",L182=M182,D182=""),"",IF(D182="做多",(O182-L182)/ABS(L182-M182),(L182-O182)/ABS(L182-M182)))</x:f>
      </x:c>
      <x:c r="R182" s="98"/>
      <x:c r="S182" s="98"/>
      <x:c r="T182" s="217"/>
    </x:row>
    <x:row r="183">
      <x:c r="A183" s="214"/>
      <x:c r="B183" s="223"/>
      <x:c r="C183" s="98"/>
      <x:c r="D183" s="98"/>
      <x:c r="E183" s="98"/>
      <x:c r="F183" s="98"/>
      <x:c r="G183" s="98"/>
      <x:c r="H183" s="98"/>
      <x:c r="I183" s="98"/>
      <x:c r="J183" s="98"/>
      <x:c r="K183" s="98"/>
      <x:c r="L183" s="225"/>
      <x:c r="M183" s="225"/>
      <x:c r="N183" s="225"/>
      <x:c r="O183" s="225"/>
      <x:c r="P183" s="220" t="str">
        <x:f>IF(OR(O183="",L183="",D183=""),"",IF(D183="做多",IF(O183&gt;L183,"Win",IF(O183&lt;L183,"Loss","BE")),IF(O183&lt;L183,"Win",IF(O183&gt;L183,"Loss","BE"))))</x:f>
      </x:c>
      <x:c r="Q183" s="228" t="str">
        <x:f>IF(OR(O183="",L183="",M183="",L183=M183,D183=""),"",IF(D183="做多",(O183-L183)/ABS(L183-M183),(L183-O183)/ABS(L183-M183)))</x:f>
      </x:c>
      <x:c r="R183" s="98"/>
      <x:c r="S183" s="98"/>
      <x:c r="T183" s="217"/>
    </x:row>
    <x:row r="184">
      <x:c r="A184" s="214"/>
      <x:c r="B184" s="223"/>
      <x:c r="C184" s="98"/>
      <x:c r="D184" s="98"/>
      <x:c r="E184" s="98"/>
      <x:c r="F184" s="98"/>
      <x:c r="G184" s="98"/>
      <x:c r="H184" s="98"/>
      <x:c r="I184" s="98"/>
      <x:c r="J184" s="98"/>
      <x:c r="K184" s="98"/>
      <x:c r="L184" s="225"/>
      <x:c r="M184" s="225"/>
      <x:c r="N184" s="225"/>
      <x:c r="O184" s="225"/>
      <x:c r="P184" s="220" t="str">
        <x:f>IF(OR(O184="",L184="",D184=""),"",IF(D184="做多",IF(O184&gt;L184,"Win",IF(O184&lt;L184,"Loss","BE")),IF(O184&lt;L184,"Win",IF(O184&gt;L184,"Loss","BE"))))</x:f>
      </x:c>
      <x:c r="Q184" s="228" t="str">
        <x:f>IF(OR(O184="",L184="",M184="",L184=M184,D184=""),"",IF(D184="做多",(O184-L184)/ABS(L184-M184),(L184-O184)/ABS(L184-M184)))</x:f>
      </x:c>
      <x:c r="R184" s="98"/>
      <x:c r="S184" s="98"/>
      <x:c r="T184" s="217"/>
    </x:row>
    <x:row r="185">
      <x:c r="A185" s="214"/>
      <x:c r="B185" s="223"/>
      <x:c r="C185" s="98"/>
      <x:c r="D185" s="98"/>
      <x:c r="E185" s="98"/>
      <x:c r="F185" s="98"/>
      <x:c r="G185" s="98"/>
      <x:c r="H185" s="98"/>
      <x:c r="I185" s="98"/>
      <x:c r="J185" s="98"/>
      <x:c r="K185" s="98"/>
      <x:c r="L185" s="225"/>
      <x:c r="M185" s="225"/>
      <x:c r="N185" s="225"/>
      <x:c r="O185" s="225"/>
      <x:c r="P185" s="220" t="str">
        <x:f>IF(OR(O185="",L185="",D185=""),"",IF(D185="做多",IF(O185&gt;L185,"Win",IF(O185&lt;L185,"Loss","BE")),IF(O185&lt;L185,"Win",IF(O185&gt;L185,"Loss","BE"))))</x:f>
      </x:c>
      <x:c r="Q185" s="228" t="str">
        <x:f>IF(OR(O185="",L185="",M185="",L185=M185,D185=""),"",IF(D185="做多",(O185-L185)/ABS(L185-M185),(L185-O185)/ABS(L185-M185)))</x:f>
      </x:c>
      <x:c r="R185" s="98"/>
      <x:c r="S185" s="98"/>
      <x:c r="T185" s="217"/>
    </x:row>
    <x:row r="186">
      <x:c r="A186" s="214"/>
      <x:c r="B186" s="223"/>
      <x:c r="C186" s="98"/>
      <x:c r="D186" s="98"/>
      <x:c r="E186" s="98"/>
      <x:c r="F186" s="98"/>
      <x:c r="G186" s="98"/>
      <x:c r="H186" s="98"/>
      <x:c r="I186" s="98"/>
      <x:c r="J186" s="98"/>
      <x:c r="K186" s="98"/>
      <x:c r="L186" s="225"/>
      <x:c r="M186" s="225"/>
      <x:c r="N186" s="225"/>
      <x:c r="O186" s="225"/>
      <x:c r="P186" s="220" t="str">
        <x:f>IF(OR(O186="",L186="",D186=""),"",IF(D186="做多",IF(O186&gt;L186,"Win",IF(O186&lt;L186,"Loss","BE")),IF(O186&lt;L186,"Win",IF(O186&gt;L186,"Loss","BE"))))</x:f>
      </x:c>
      <x:c r="Q186" s="228" t="str">
        <x:f>IF(OR(O186="",L186="",M186="",L186=M186,D186=""),"",IF(D186="做多",(O186-L186)/ABS(L186-M186),(L186-O186)/ABS(L186-M186)))</x:f>
      </x:c>
      <x:c r="R186" s="98"/>
      <x:c r="S186" s="98"/>
      <x:c r="T186" s="217"/>
    </x:row>
    <x:row r="187">
      <x:c r="A187" s="214"/>
      <x:c r="B187" s="223"/>
      <x:c r="C187" s="98"/>
      <x:c r="D187" s="98"/>
      <x:c r="E187" s="98"/>
      <x:c r="F187" s="98"/>
      <x:c r="G187" s="98"/>
      <x:c r="H187" s="98"/>
      <x:c r="I187" s="98"/>
      <x:c r="J187" s="98"/>
      <x:c r="K187" s="98"/>
      <x:c r="L187" s="225"/>
      <x:c r="M187" s="225"/>
      <x:c r="N187" s="225"/>
      <x:c r="O187" s="225"/>
      <x:c r="P187" s="220" t="str">
        <x:f>IF(OR(O187="",L187="",D187=""),"",IF(D187="做多",IF(O187&gt;L187,"Win",IF(O187&lt;L187,"Loss","BE")),IF(O187&lt;L187,"Win",IF(O187&gt;L187,"Loss","BE"))))</x:f>
      </x:c>
      <x:c r="Q187" s="228" t="str">
        <x:f>IF(OR(O187="",L187="",M187="",L187=M187,D187=""),"",IF(D187="做多",(O187-L187)/ABS(L187-M187),(L187-O187)/ABS(L187-M187)))</x:f>
      </x:c>
      <x:c r="R187" s="98"/>
      <x:c r="S187" s="98"/>
      <x:c r="T187" s="217"/>
    </x:row>
    <x:row r="188">
      <x:c r="A188" s="214"/>
      <x:c r="B188" s="223"/>
      <x:c r="C188" s="98"/>
      <x:c r="D188" s="98"/>
      <x:c r="E188" s="98"/>
      <x:c r="F188" s="98"/>
      <x:c r="G188" s="98"/>
      <x:c r="H188" s="98"/>
      <x:c r="I188" s="98"/>
      <x:c r="J188" s="98"/>
      <x:c r="K188" s="98"/>
      <x:c r="L188" s="225"/>
      <x:c r="M188" s="225"/>
      <x:c r="N188" s="225"/>
      <x:c r="O188" s="225"/>
      <x:c r="P188" s="220" t="str">
        <x:f>IF(OR(O188="",L188="",D188=""),"",IF(D188="做多",IF(O188&gt;L188,"Win",IF(O188&lt;L188,"Loss","BE")),IF(O188&lt;L188,"Win",IF(O188&gt;L188,"Loss","BE"))))</x:f>
      </x:c>
      <x:c r="Q188" s="228" t="str">
        <x:f>IF(OR(O188="",L188="",M188="",L188=M188,D188=""),"",IF(D188="做多",(O188-L188)/ABS(L188-M188),(L188-O188)/ABS(L188-M188)))</x:f>
      </x:c>
      <x:c r="R188" s="98"/>
      <x:c r="S188" s="98"/>
      <x:c r="T188" s="217"/>
    </x:row>
    <x:row r="189">
      <x:c r="A189" s="214"/>
      <x:c r="B189" s="223"/>
      <x:c r="C189" s="98"/>
      <x:c r="D189" s="98"/>
      <x:c r="E189" s="98"/>
      <x:c r="F189" s="98"/>
      <x:c r="G189" s="98"/>
      <x:c r="H189" s="98"/>
      <x:c r="I189" s="98"/>
      <x:c r="J189" s="98"/>
      <x:c r="K189" s="98"/>
      <x:c r="L189" s="225"/>
      <x:c r="M189" s="225"/>
      <x:c r="N189" s="225"/>
      <x:c r="O189" s="225"/>
      <x:c r="P189" s="220" t="str">
        <x:f>IF(OR(O189="",L189="",D189=""),"",IF(D189="做多",IF(O189&gt;L189,"Win",IF(O189&lt;L189,"Loss","BE")),IF(O189&lt;L189,"Win",IF(O189&gt;L189,"Loss","BE"))))</x:f>
      </x:c>
      <x:c r="Q189" s="228" t="str">
        <x:f>IF(OR(O189="",L189="",M189="",L189=M189,D189=""),"",IF(D189="做多",(O189-L189)/ABS(L189-M189),(L189-O189)/ABS(L189-M189)))</x:f>
      </x:c>
      <x:c r="R189" s="98"/>
      <x:c r="S189" s="98"/>
      <x:c r="T189" s="217"/>
    </x:row>
    <x:row r="190">
      <x:c r="A190" s="214"/>
      <x:c r="B190" s="223"/>
      <x:c r="C190" s="98"/>
      <x:c r="D190" s="98"/>
      <x:c r="E190" s="98"/>
      <x:c r="F190" s="98"/>
      <x:c r="G190" s="98"/>
      <x:c r="H190" s="98"/>
      <x:c r="I190" s="98"/>
      <x:c r="J190" s="98"/>
      <x:c r="K190" s="98"/>
      <x:c r="L190" s="225"/>
      <x:c r="M190" s="225"/>
      <x:c r="N190" s="225"/>
      <x:c r="O190" s="225"/>
      <x:c r="P190" s="220" t="str">
        <x:f>IF(OR(O190="",L190="",D190=""),"",IF(D190="做多",IF(O190&gt;L190,"Win",IF(O190&lt;L190,"Loss","BE")),IF(O190&lt;L190,"Win",IF(O190&gt;L190,"Loss","BE"))))</x:f>
      </x:c>
      <x:c r="Q190" s="228" t="str">
        <x:f>IF(OR(O190="",L190="",M190="",L190=M190,D190=""),"",IF(D190="做多",(O190-L190)/ABS(L190-M190),(L190-O190)/ABS(L190-M190)))</x:f>
      </x:c>
      <x:c r="R190" s="98"/>
      <x:c r="S190" s="98"/>
      <x:c r="T190" s="217"/>
    </x:row>
    <x:row r="191">
      <x:c r="A191" s="214"/>
      <x:c r="B191" s="223"/>
      <x:c r="C191" s="98"/>
      <x:c r="D191" s="98"/>
      <x:c r="E191" s="98"/>
      <x:c r="F191" s="98"/>
      <x:c r="G191" s="98"/>
      <x:c r="H191" s="98"/>
      <x:c r="I191" s="98"/>
      <x:c r="J191" s="98"/>
      <x:c r="K191" s="98"/>
      <x:c r="L191" s="225"/>
      <x:c r="M191" s="225"/>
      <x:c r="N191" s="225"/>
      <x:c r="O191" s="225"/>
      <x:c r="P191" s="220" t="str">
        <x:f>IF(OR(O191="",L191="",D191=""),"",IF(D191="做多",IF(O191&gt;L191,"Win",IF(O191&lt;L191,"Loss","BE")),IF(O191&lt;L191,"Win",IF(O191&gt;L191,"Loss","BE"))))</x:f>
      </x:c>
      <x:c r="Q191" s="228" t="str">
        <x:f>IF(OR(O191="",L191="",M191="",L191=M191,D191=""),"",IF(D191="做多",(O191-L191)/ABS(L191-M191),(L191-O191)/ABS(L191-M191)))</x:f>
      </x:c>
      <x:c r="R191" s="98"/>
      <x:c r="S191" s="98"/>
      <x:c r="T191" s="217"/>
    </x:row>
    <x:row r="192">
      <x:c r="A192" s="214"/>
      <x:c r="B192" s="223"/>
      <x:c r="C192" s="98"/>
      <x:c r="D192" s="98"/>
      <x:c r="E192" s="98"/>
      <x:c r="F192" s="98"/>
      <x:c r="G192" s="98"/>
      <x:c r="H192" s="98"/>
      <x:c r="I192" s="98"/>
      <x:c r="J192" s="98"/>
      <x:c r="K192" s="98"/>
      <x:c r="L192" s="225"/>
      <x:c r="M192" s="225"/>
      <x:c r="N192" s="225"/>
      <x:c r="O192" s="225"/>
      <x:c r="P192" s="220" t="str">
        <x:f>IF(OR(O192="",L192="",D192=""),"",IF(D192="做多",IF(O192&gt;L192,"Win",IF(O192&lt;L192,"Loss","BE")),IF(O192&lt;L192,"Win",IF(O192&gt;L192,"Loss","BE"))))</x:f>
      </x:c>
      <x:c r="Q192" s="228" t="str">
        <x:f>IF(OR(O192="",L192="",M192="",L192=M192,D192=""),"",IF(D192="做多",(O192-L192)/ABS(L192-M192),(L192-O192)/ABS(L192-M192)))</x:f>
      </x:c>
      <x:c r="R192" s="98"/>
      <x:c r="S192" s="98"/>
      <x:c r="T192" s="217"/>
    </x:row>
    <x:row r="193">
      <x:c r="A193" s="214"/>
      <x:c r="B193" s="223"/>
      <x:c r="C193" s="98"/>
      <x:c r="D193" s="98"/>
      <x:c r="E193" s="98"/>
      <x:c r="F193" s="98"/>
      <x:c r="G193" s="98"/>
      <x:c r="H193" s="98"/>
      <x:c r="I193" s="98"/>
      <x:c r="J193" s="98"/>
      <x:c r="K193" s="98"/>
      <x:c r="L193" s="225"/>
      <x:c r="M193" s="225"/>
      <x:c r="N193" s="225"/>
      <x:c r="O193" s="225"/>
      <x:c r="P193" s="220" t="str">
        <x:f>IF(OR(O193="",L193="",D193=""),"",IF(D193="做多",IF(O193&gt;L193,"Win",IF(O193&lt;L193,"Loss","BE")),IF(O193&lt;L193,"Win",IF(O193&gt;L193,"Loss","BE"))))</x:f>
      </x:c>
      <x:c r="Q193" s="228" t="str">
        <x:f>IF(OR(O193="",L193="",M193="",L193=M193,D193=""),"",IF(D193="做多",(O193-L193)/ABS(L193-M193),(L193-O193)/ABS(L193-M193)))</x:f>
      </x:c>
      <x:c r="R193" s="98"/>
      <x:c r="S193" s="98"/>
      <x:c r="T193" s="217"/>
    </x:row>
    <x:row r="194">
      <x:c r="A194" s="214"/>
      <x:c r="B194" s="223"/>
      <x:c r="C194" s="98"/>
      <x:c r="D194" s="98"/>
      <x:c r="E194" s="98"/>
      <x:c r="F194" s="98"/>
      <x:c r="G194" s="98"/>
      <x:c r="H194" s="98"/>
      <x:c r="I194" s="98"/>
      <x:c r="J194" s="98"/>
      <x:c r="K194" s="98"/>
      <x:c r="L194" s="225"/>
      <x:c r="M194" s="225"/>
      <x:c r="N194" s="225"/>
      <x:c r="O194" s="225"/>
      <x:c r="P194" s="220" t="str">
        <x:f>IF(OR(O194="",L194="",D194=""),"",IF(D194="做多",IF(O194&gt;L194,"Win",IF(O194&lt;L194,"Loss","BE")),IF(O194&lt;L194,"Win",IF(O194&gt;L194,"Loss","BE"))))</x:f>
      </x:c>
      <x:c r="Q194" s="228" t="str">
        <x:f>IF(OR(O194="",L194="",M194="",L194=M194,D194=""),"",IF(D194="做多",(O194-L194)/ABS(L194-M194),(L194-O194)/ABS(L194-M194)))</x:f>
      </x:c>
      <x:c r="R194" s="98"/>
      <x:c r="S194" s="98"/>
      <x:c r="T194" s="217"/>
    </x:row>
    <x:row r="195">
      <x:c r="A195" s="214"/>
      <x:c r="B195" s="223"/>
      <x:c r="C195" s="98"/>
      <x:c r="D195" s="98"/>
      <x:c r="E195" s="98"/>
      <x:c r="F195" s="98"/>
      <x:c r="G195" s="98"/>
      <x:c r="H195" s="98"/>
      <x:c r="I195" s="98"/>
      <x:c r="J195" s="98"/>
      <x:c r="K195" s="98"/>
      <x:c r="L195" s="225"/>
      <x:c r="M195" s="225"/>
      <x:c r="N195" s="225"/>
      <x:c r="O195" s="225"/>
      <x:c r="P195" s="220" t="str">
        <x:f>IF(OR(O195="",L195="",D195=""),"",IF(D195="做多",IF(O195&gt;L195,"Win",IF(O195&lt;L195,"Loss","BE")),IF(O195&lt;L195,"Win",IF(O195&gt;L195,"Loss","BE"))))</x:f>
      </x:c>
      <x:c r="Q195" s="228" t="str">
        <x:f>IF(OR(O195="",L195="",M195="",L195=M195,D195=""),"",IF(D195="做多",(O195-L195)/ABS(L195-M195),(L195-O195)/ABS(L195-M195)))</x:f>
      </x:c>
      <x:c r="R195" s="98"/>
      <x:c r="S195" s="98"/>
      <x:c r="T195" s="217"/>
    </x:row>
    <x:row r="196">
      <x:c r="A196" s="214"/>
      <x:c r="B196" s="223"/>
      <x:c r="C196" s="98"/>
      <x:c r="D196" s="98"/>
      <x:c r="E196" s="98"/>
      <x:c r="F196" s="98"/>
      <x:c r="G196" s="98"/>
      <x:c r="H196" s="98"/>
      <x:c r="I196" s="98"/>
      <x:c r="J196" s="98"/>
      <x:c r="K196" s="98"/>
      <x:c r="L196" s="225"/>
      <x:c r="M196" s="225"/>
      <x:c r="N196" s="225"/>
      <x:c r="O196" s="225"/>
      <x:c r="P196" s="220" t="str">
        <x:f>IF(OR(O196="",L196="",D196=""),"",IF(D196="做多",IF(O196&gt;L196,"Win",IF(O196&lt;L196,"Loss","BE")),IF(O196&lt;L196,"Win",IF(O196&gt;L196,"Loss","BE"))))</x:f>
      </x:c>
      <x:c r="Q196" s="228" t="str">
        <x:f>IF(OR(O196="",L196="",M196="",L196=M196,D196=""),"",IF(D196="做多",(O196-L196)/ABS(L196-M196),(L196-O196)/ABS(L196-M196)))</x:f>
      </x:c>
      <x:c r="R196" s="98"/>
      <x:c r="S196" s="98"/>
      <x:c r="T196" s="217"/>
    </x:row>
    <x:row r="197">
      <x:c r="A197" s="214"/>
      <x:c r="B197" s="223"/>
      <x:c r="C197" s="98"/>
      <x:c r="D197" s="98"/>
      <x:c r="E197" s="98"/>
      <x:c r="F197" s="98"/>
      <x:c r="G197" s="98"/>
      <x:c r="H197" s="98"/>
      <x:c r="I197" s="98"/>
      <x:c r="J197" s="98"/>
      <x:c r="K197" s="98"/>
      <x:c r="L197" s="225"/>
      <x:c r="M197" s="225"/>
      <x:c r="N197" s="225"/>
      <x:c r="O197" s="225"/>
      <x:c r="P197" s="220" t="str">
        <x:f>IF(OR(O197="",L197="",D197=""),"",IF(D197="做多",IF(O197&gt;L197,"Win",IF(O197&lt;L197,"Loss","BE")),IF(O197&lt;L197,"Win",IF(O197&gt;L197,"Loss","BE"))))</x:f>
      </x:c>
      <x:c r="Q197" s="228" t="str">
        <x:f>IF(OR(O197="",L197="",M197="",L197=M197,D197=""),"",IF(D197="做多",(O197-L197)/ABS(L197-M197),(L197-O197)/ABS(L197-M197)))</x:f>
      </x:c>
      <x:c r="R197" s="98"/>
      <x:c r="S197" s="98"/>
      <x:c r="T197" s="217"/>
    </x:row>
    <x:row r="198">
      <x:c r="A198" s="214"/>
      <x:c r="B198" s="223"/>
      <x:c r="C198" s="98"/>
      <x:c r="D198" s="98"/>
      <x:c r="E198" s="98"/>
      <x:c r="F198" s="98"/>
      <x:c r="G198" s="98"/>
      <x:c r="H198" s="98"/>
      <x:c r="I198" s="98"/>
      <x:c r="J198" s="98"/>
      <x:c r="K198" s="98"/>
      <x:c r="L198" s="225"/>
      <x:c r="M198" s="225"/>
      <x:c r="N198" s="225"/>
      <x:c r="O198" s="225"/>
      <x:c r="P198" s="220" t="str">
        <x:f>IF(OR(O198="",L198="",D198=""),"",IF(D198="做多",IF(O198&gt;L198,"Win",IF(O198&lt;L198,"Loss","BE")),IF(O198&lt;L198,"Win",IF(O198&gt;L198,"Loss","BE"))))</x:f>
      </x:c>
      <x:c r="Q198" s="228" t="str">
        <x:f>IF(OR(O198="",L198="",M198="",L198=M198,D198=""),"",IF(D198="做多",(O198-L198)/ABS(L198-M198),(L198-O198)/ABS(L198-M198)))</x:f>
      </x:c>
      <x:c r="R198" s="98"/>
      <x:c r="S198" s="98"/>
      <x:c r="T198" s="217"/>
    </x:row>
    <x:row r="199">
      <x:c r="A199" s="214"/>
      <x:c r="B199" s="223"/>
      <x:c r="C199" s="98"/>
      <x:c r="D199" s="98"/>
      <x:c r="E199" s="98"/>
      <x:c r="F199" s="98"/>
      <x:c r="G199" s="98"/>
      <x:c r="H199" s="98"/>
      <x:c r="I199" s="98"/>
      <x:c r="J199" s="98"/>
      <x:c r="K199" s="98"/>
      <x:c r="L199" s="225"/>
      <x:c r="M199" s="225"/>
      <x:c r="N199" s="225"/>
      <x:c r="O199" s="225"/>
      <x:c r="P199" s="220" t="str">
        <x:f>IF(OR(O199="",L199="",D199=""),"",IF(D199="做多",IF(O199&gt;L199,"Win",IF(O199&lt;L199,"Loss","BE")),IF(O199&lt;L199,"Win",IF(O199&gt;L199,"Loss","BE"))))</x:f>
      </x:c>
      <x:c r="Q199" s="228" t="str">
        <x:f>IF(OR(O199="",L199="",M199="",L199=M199,D199=""),"",IF(D199="做多",(O199-L199)/ABS(L199-M199),(L199-O199)/ABS(L199-M199)))</x:f>
      </x:c>
      <x:c r="R199" s="98"/>
      <x:c r="S199" s="98"/>
      <x:c r="T199" s="217"/>
    </x:row>
    <x:row r="200">
      <x:c r="A200" s="214"/>
      <x:c r="B200" s="223"/>
      <x:c r="C200" s="98"/>
      <x:c r="D200" s="98"/>
      <x:c r="E200" s="98"/>
      <x:c r="F200" s="98"/>
      <x:c r="G200" s="98"/>
      <x:c r="H200" s="98"/>
      <x:c r="I200" s="98"/>
      <x:c r="J200" s="98"/>
      <x:c r="K200" s="98"/>
      <x:c r="L200" s="225"/>
      <x:c r="M200" s="225"/>
      <x:c r="N200" s="225"/>
      <x:c r="O200" s="225"/>
      <x:c r="P200" s="220" t="str">
        <x:f>IF(OR(O200="",L200="",D200=""),"",IF(D200="做多",IF(O200&gt;L200,"Win",IF(O200&lt;L200,"Loss","BE")),IF(O200&lt;L200,"Win",IF(O200&gt;L200,"Loss","BE"))))</x:f>
      </x:c>
      <x:c r="Q200" s="228" t="str">
        <x:f>IF(OR(O200="",L200="",M200="",L200=M200,D200=""),"",IF(D200="做多",(O200-L200)/ABS(L200-M200),(L200-O200)/ABS(L200-M200)))</x:f>
      </x:c>
      <x:c r="R200" s="98"/>
      <x:c r="S200" s="98"/>
      <x:c r="T200" s="217"/>
    </x:row>
    <x:row r="201">
      <x:c r="A201" s="214"/>
      <x:c r="B201" s="223"/>
      <x:c r="C201" s="98"/>
      <x:c r="D201" s="98"/>
      <x:c r="E201" s="98"/>
      <x:c r="F201" s="98"/>
      <x:c r="G201" s="98"/>
      <x:c r="H201" s="98"/>
      <x:c r="I201" s="98"/>
      <x:c r="J201" s="98"/>
      <x:c r="K201" s="98"/>
      <x:c r="L201" s="225"/>
      <x:c r="M201" s="225"/>
      <x:c r="N201" s="225"/>
      <x:c r="O201" s="225"/>
      <x:c r="P201" s="220" t="str">
        <x:f>IF(OR(O201="",L201="",D201=""),"",IF(D201="做多",IF(O201&gt;L201,"Win",IF(O201&lt;L201,"Loss","BE")),IF(O201&lt;L201,"Win",IF(O201&gt;L201,"Loss","BE"))))</x:f>
      </x:c>
      <x:c r="Q201" s="228" t="str">
        <x:f>IF(OR(O201="",L201="",M201="",L201=M201,D201=""),"",IF(D201="做多",(O201-L201)/ABS(L201-M201),(L201-O201)/ABS(L201-M201)))</x:f>
      </x:c>
      <x:c r="R201" s="98"/>
      <x:c r="S201" s="98"/>
      <x:c r="T201" s="217"/>
    </x:row>
    <x:row r="202">
      <x:c r="A202" s="214"/>
      <x:c r="B202" s="223"/>
      <x:c r="C202" s="98"/>
      <x:c r="D202" s="98"/>
      <x:c r="E202" s="98"/>
      <x:c r="F202" s="98"/>
      <x:c r="G202" s="98"/>
      <x:c r="H202" s="98"/>
      <x:c r="I202" s="98"/>
      <x:c r="J202" s="98"/>
      <x:c r="K202" s="98"/>
      <x:c r="L202" s="225"/>
      <x:c r="M202" s="225"/>
      <x:c r="N202" s="225"/>
      <x:c r="O202" s="225"/>
      <x:c r="P202" s="220" t="str">
        <x:f>IF(OR(O202="",L202="",D202=""),"",IF(D202="做多",IF(O202&gt;L202,"Win",IF(O202&lt;L202,"Loss","BE")),IF(O202&lt;L202,"Win",IF(O202&gt;L202,"Loss","BE"))))</x:f>
      </x:c>
      <x:c r="Q202" s="228" t="str">
        <x:f>IF(OR(O202="",L202="",M202="",L202=M202,D202=""),"",IF(D202="做多",(O202-L202)/ABS(L202-M202),(L202-O202)/ABS(L202-M202)))</x:f>
      </x:c>
      <x:c r="R202" s="98"/>
      <x:c r="S202" s="98"/>
      <x:c r="T202" s="217"/>
    </x:row>
    <x:row r="203">
      <x:c r="A203" s="215"/>
      <x:c r="B203" s="224"/>
      <x:c r="C203" s="99"/>
      <x:c r="D203" s="99"/>
      <x:c r="E203" s="99"/>
      <x:c r="F203" s="99"/>
      <x:c r="G203" s="99"/>
      <x:c r="H203" s="99"/>
      <x:c r="I203" s="99"/>
      <x:c r="J203" s="99"/>
      <x:c r="K203" s="99"/>
      <x:c r="L203" s="226"/>
      <x:c r="M203" s="226"/>
      <x:c r="N203" s="226"/>
      <x:c r="O203" s="226"/>
      <x:c r="P203" s="221" t="str">
        <x:f>IF(OR(O203="",L203="",D203=""),"",IF(D203="做多",IF(O203&gt;L203,"Win",IF(O203&lt;L203,"Loss","BE")),IF(O203&lt;L203,"Win",IF(O203&gt;L203,"Loss","BE"))))</x:f>
      </x:c>
      <x:c r="Q203" s="229" t="str">
        <x:f>IF(OR(O203="",L203="",M203="",L203=M203,D203=""),"",IF(D203="做多",(O203-L203)/ABS(L203-M203),(L203-O203)/ABS(L203-M203)))</x:f>
      </x:c>
      <x:c r="R203" s="99"/>
      <x:c r="S203" s="99"/>
      <x:c r="T203" s="218"/>
    </x:row>
  </x:sheetData>
  <x:mergeCells>
    <x:mergeCell ref="A1:T1"/>
    <x:mergeCell ref="A2:T2"/>
  </x:mergeCells>
  <x:dataValidations count="8">
    <x:dataValidation type="list" sqref="C4:C203">
      <x:formula1>"BTCUSDT,ETHUSDT"</x:formula1>
    </x:dataValidation>
    <x:dataValidation type="list" sqref="D4:D203">
      <x:formula1>"做多,做空"</x:formula1>
    </x:dataValidation>
    <x:dataValidation type="list" sqref="E4:E203">
      <x:formula1>"多头,空头,中性"</x:formula1>
    </x:dataValidation>
    <x:dataValidation type="list" sqref="F4:F203">
      <x:formula1>"趋势,区间,混乱,未分类"</x:formula1>
    </x:dataValidation>
    <x:dataValidation type="list" sqref="G4:G203">
      <x:formula1>"亚洲,伦敦,纽约,周末,事件窗口,其他"</x:formula1>
    </x:dataValidation>
    <x:dataValidation type="list" sqref="H4:H203">
      <x:formula1>"SSL,BSL,双侧,无,未分类"</x:formula1>
    </x:dataValidation>
    <x:dataValidation type="list" sqref="I4:K203">
      <x:formula1>"是,否"</x:formula1>
    </x:dataValidation>
    <x:dataValidation type="list" sqref="R4:R203">
      <x:formula1>"是,否,待复盘"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8364032ce04a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4" customHeight="1">
      <x:c r="A1" s="4" t="str">
        <x:v>BTC SMC 统计看板</x:v>
      </x:c>
      <x:c r="B1" s="4" t="str">
        <x:v>BTC SMC 统计看板</x:v>
      </x:c>
      <x:c r="C1" s="4" t="str">
        <x:v>BTC SMC 统计看板</x:v>
      </x:c>
      <x:c r="D1" s="4" t="str">
        <x:v>BTC SMC 统计看板</x:v>
      </x:c>
      <x:c r="E1" s="4" t="str">
        <x:v>BTC SMC 统计看板</x:v>
      </x:c>
      <x:c r="F1" s="4" t="str">
        <x:v>BTC SMC 统计看板</x:v>
      </x:c>
      <x:c r="G1" s="4" t="str">
        <x:v>BTC SMC 统计看板</x:v>
      </x:c>
      <x:c r="H1" s="4" t="str">
        <x:v>BTC SMC 统计看板</x:v>
      </x:c>
      <x:c r="I1" s="4" t="str">
        <x:v>BTC SMC 统计看板</x:v>
      </x:c>
      <x:c r="J1" s="4" t="str">
        <x:v>BTC SMC 统计看板</x:v>
      </x:c>
      <x:c r="K1" s="4" t="str">
        <x:v>BTC SMC 统计看板</x:v>
      </x:c>
      <x:c r="L1" s="4" t="str">
        <x:v>BTC SMC 统计看板</x:v>
      </x:c>
      <x:c r="M1" s="4" t="str">
        <x:v>BTC SMC 统计看板</x:v>
      </x:c>
      <x:c r="N1" s="4" t="str">
        <x:v>BTC SMC 统计看板</x:v>
      </x:c>
    </x:row>
    <x:row r="2">
      <x:c r="A2" s="246" t="str">
        <x:v>先看按计划执行率，再看策略结果。少量样本的高胜率不代表系统有效。</x:v>
      </x:c>
      <x:c r="B2" s="246" t="str">
        <x:v>先看按计划执行率，再看策略结果。少量样本的高胜率不代表系统有效。</x:v>
      </x:c>
      <x:c r="C2" s="246" t="str">
        <x:v>先看按计划执行率，再看策略结果。少量样本的高胜率不代表系统有效。</x:v>
      </x:c>
      <x:c r="D2" s="246" t="str">
        <x:v>先看按计划执行率，再看策略结果。少量样本的高胜率不代表系统有效。</x:v>
      </x:c>
      <x:c r="E2" s="246" t="str">
        <x:v>先看按计划执行率，再看策略结果。少量样本的高胜率不代表系统有效。</x:v>
      </x:c>
      <x:c r="F2" s="246" t="str">
        <x:v>先看按计划执行率，再看策略结果。少量样本的高胜率不代表系统有效。</x:v>
      </x:c>
      <x:c r="G2" s="246" t="str">
        <x:v>先看按计划执行率，再看策略结果。少量样本的高胜率不代表系统有效。</x:v>
      </x:c>
      <x:c r="H2" s="246" t="str">
        <x:v>先看按计划执行率，再看策略结果。少量样本的高胜率不代表系统有效。</x:v>
      </x:c>
      <x:c r="I2" s="246" t="str">
        <x:v>先看按计划执行率，再看策略结果。少量样本的高胜率不代表系统有效。</x:v>
      </x:c>
      <x:c r="J2" s="246" t="str">
        <x:v>先看按计划执行率，再看策略结果。少量样本的高胜率不代表系统有效。</x:v>
      </x:c>
      <x:c r="K2" s="246" t="str">
        <x:v>先看按计划执行率，再看策略结果。少量样本的高胜率不代表系统有效。</x:v>
      </x:c>
      <x:c r="L2" s="246" t="str">
        <x:v>先看按计划执行率，再看策略结果。少量样本的高胜率不代表系统有效。</x:v>
      </x:c>
      <x:c r="M2" s="246" t="str">
        <x:v>先看按计划执行率，再看策略结果。少量样本的高胜率不代表系统有效。</x:v>
      </x:c>
      <x:c r="N2" s="246" t="str">
        <x:v>先看按计划执行率，再看策略结果。少量样本的高胜率不代表系统有效。</x:v>
      </x:c>
    </x:row>
    <x:row r="3">
      <x:c r="A3" s="14" t="str">
        <x:v>样本</x:v>
      </x:c>
      <x:c r="B3" s="14" t="str">
        <x:v>数值</x:v>
      </x:c>
      <x:c r="C3" s="247"/>
      <x:c r="D3" s="14" t="str">
        <x:v>盈亏</x:v>
      </x:c>
      <x:c r="E3" s="14" t="str">
        <x:v>数值</x:v>
      </x:c>
      <x:c r="F3" s="247"/>
      <x:c r="G3" s="14" t="str">
        <x:v>R统计</x:v>
      </x:c>
      <x:c r="H3" s="14" t="str">
        <x:v>数值</x:v>
      </x:c>
      <x:c r="I3" s="247"/>
      <x:c r="J3" s="14" t="str">
        <x:v>风险/纪律</x:v>
      </x:c>
      <x:c r="K3" s="14" t="str">
        <x:v>数值</x:v>
      </x:c>
      <x:c r="L3" s="247"/>
      <x:c r="M3" s="247"/>
      <x:c r="N3" s="247"/>
    </x:row>
    <x:row r="4">
      <x:c r="A4" s="248" t="str">
        <x:v>已平仓交易</x:v>
      </x:c>
      <x:c r="B4" s="249" t="n">
        <x:f>COUNTIF('交易日志'!$X$4:$X$303,"Win")+COUNTIF('交易日志'!$X$4:$X$303,"Loss")+COUNTIF('交易日志'!$X$4:$X$303,"BE")</x:f>
        <x:v>4</x:v>
      </x:c>
      <x:c r="C4" s="247"/>
      <x:c r="D4" s="248" t="str">
        <x:v>净盈亏(U)</x:v>
      </x:c>
      <x:c r="E4" s="250" t="n">
        <x:f>SUM('交易日志'!$V$4:$V$303)</x:f>
        <x:v>-112.58571557705999</x:v>
      </x:c>
      <x:c r="F4" s="247"/>
      <x:c r="G4" s="248" t="str">
        <x:v>期望值(R)</x:v>
      </x:c>
      <x:c r="H4" s="251" t="n">
        <x:f>IF(COUNT('交易日志'!$W$4:$W$303)=0,0,AVERAGE('交易日志'!$W$4:$W$303))</x:f>
        <x:v>0</x:v>
      </x:c>
      <x:c r="I4" s="247"/>
      <x:c r="J4" s="248" t="str">
        <x:v>最大回撤(U)</x:v>
      </x:c>
      <x:c r="K4" s="250" t="n">
        <x:f>MIN(0,'交易日志'!$AF$4:$AF$303)</x:f>
        <x:v>-129.60216481131977</x:v>
      </x:c>
      <x:c r="L4" s="247"/>
      <x:c r="M4" s="247"/>
      <x:c r="N4" s="247"/>
    </x:row>
    <x:row r="5">
      <x:c r="A5" s="252" t="str">
        <x:v>盈利笔数</x:v>
      </x:c>
      <x:c r="B5" s="253" t="n">
        <x:f>COUNTIF('交易日志'!$X$4:$X$303,"Win")</x:f>
        <x:v>2</x:v>
      </x:c>
      <x:c r="C5" s="247"/>
      <x:c r="D5" s="252" t="str">
        <x:v>总盈利(U)</x:v>
      </x:c>
      <x:c r="E5" s="254" t="n">
        <x:f>SUMIF('交易日志'!$V$4:$V$303,"&gt;0",'交易日志'!$V$4:$V$303)</x:f>
        <x:v>24.927841639323077</x:v>
      </x:c>
      <x:c r="F5" s="247"/>
      <x:c r="G5" s="252" t="str">
        <x:v>平均盈利R</x:v>
      </x:c>
      <x:c r="H5" s="255" t="n">
        <x:f>IF(COUNTIF('交易日志'!$W$4:$W$303,"&gt;0")=0,0,SUMIF('交易日志'!$W$4:$W$303,"&gt;0",'交易日志'!$W$4:$W$303)/COUNTIF('交易日志'!$W$4:$W$303,"&gt;0"))</x:f>
        <x:v>0</x:v>
      </x:c>
      <x:c r="I5" s="247"/>
      <x:c r="J5" s="252" t="str">
        <x:v>按计划执行率</x:v>
      </x:c>
      <x:c r="K5" s="256" t="n">
        <x:f>IF(COUNTIF('交易日志'!$Y$4:$Y$303,"是")+COUNTIF('交易日志'!$Y$4:$Y$303,"否")=0,0,COUNTIF('交易日志'!$Y$4:$Y$303,"是")/(COUNTIF('交易日志'!$Y$4:$Y$303,"是")+COUNTIF('交易日志'!$Y$4:$Y$303,"否")))</x:f>
        <x:v>0</x:v>
      </x:c>
      <x:c r="L5" s="247"/>
      <x:c r="M5" s="247"/>
      <x:c r="N5" s="247"/>
    </x:row>
    <x:row r="6">
      <x:c r="A6" s="252" t="str">
        <x:v>亏损笔数</x:v>
      </x:c>
      <x:c r="B6" s="253" t="n">
        <x:f>COUNTIF('交易日志'!$X$4:$X$303,"Loss")</x:f>
        <x:v>2</x:v>
      </x:c>
      <x:c r="C6" s="247"/>
      <x:c r="D6" s="252" t="str">
        <x:v>总亏损(U)</x:v>
      </x:c>
      <x:c r="E6" s="254" t="n">
        <x:f>SUMIF('交易日志'!$V$4:$V$303,"&lt;0",'交易日志'!$V$4:$V$303)</x:f>
        <x:v>-137.51355721638305</x:v>
      </x:c>
      <x:c r="F6" s="247"/>
      <x:c r="G6" s="252" t="str">
        <x:v>平均亏损R</x:v>
      </x:c>
      <x:c r="H6" s="255" t="n">
        <x:f>IF(COUNTIF('交易日志'!$W$4:$W$303,"&lt;0")=0,0,SUMIF('交易日志'!$W$4:$W$303,"&lt;0",'交易日志'!$W$4:$W$303)/COUNTIF('交易日志'!$W$4:$W$303,"&lt;0"))</x:f>
        <x:v>0</x:v>
      </x:c>
      <x:c r="I6" s="247"/>
      <x:c r="J6" s="252" t="str">
        <x:v>违规交易数</x:v>
      </x:c>
      <x:c r="K6" s="253" t="n">
        <x:f>COUNTIF('交易日志'!$Y$4:$Y$303,"否")</x:f>
        <x:v>4</x:v>
      </x:c>
      <x:c r="L6" s="247"/>
      <x:c r="M6" s="247"/>
      <x:c r="N6" s="247"/>
    </x:row>
    <x:row r="7">
      <x:c r="A7" s="252" t="str">
        <x:v>胜率</x:v>
      </x:c>
      <x:c r="B7" s="256" t="n">
        <x:f>IF(B4=0,0,B5/B4)</x:f>
        <x:v>0.5</x:v>
      </x:c>
      <x:c r="C7" s="247"/>
      <x:c r="D7" s="252" t="str">
        <x:v>Profit Factor</x:v>
      </x:c>
      <x:c r="E7" s="255" t="n">
        <x:f>IF(E6=0,0,E5/ABS(E6))</x:f>
        <x:v>0.1812755203481365</x:v>
      </x:c>
      <x:c r="F7" s="247"/>
      <x:c r="G7" s="252" t="str">
        <x:v>平均RR计划</x:v>
      </x:c>
      <x:c r="H7" s="255" t="n">
        <x:f>IF(COUNT('交易日志'!$T$4:$T$303)=0,0,AVERAGE('交易日志'!$T$4:$T$303))</x:f>
        <x:v>1.9382957884426928</x:v>
      </x:c>
      <x:c r="I7" s="247"/>
      <x:c r="J7" s="252" t="str">
        <x:v>单笔风险上限(U)</x:v>
      </x:c>
      <x:c r="K7" s="254" t="n">
        <x:f>'参数设置'!B15</x:f>
        <x:v>50</x:v>
      </x:c>
      <x:c r="L7" s="247"/>
      <x:c r="M7" s="247"/>
      <x:c r="N7" s="247"/>
    </x:row>
    <x:row r="8">
      <x:c r="A8" s="252" t="str">
        <x:v>目标样本数</x:v>
      </x:c>
      <x:c r="B8" s="276" t="n">
        <x:f>'参数设置'!B11</x:f>
        <x:v>100</x:v>
      </x:c>
      <x:c r="C8" s="247"/>
      <x:c r="D8" s="252" t="str">
        <x:v>最大单笔盈利</x:v>
      </x:c>
      <x:c r="E8" s="254" t="n">
        <x:f>MAX(0,'交易日志'!$V$4:$V$303)</x:f>
        <x:v>17.016449234259785</x:v>
      </x:c>
      <x:c r="F8" s="247"/>
      <x:c r="G8" s="252" t="str">
        <x:v>最好一笔R</x:v>
      </x:c>
      <x:c r="H8" s="255" t="n">
        <x:f>MAX(0,'交易日志'!$W$4:$W$303)</x:f>
        <x:v>0</x:v>
      </x:c>
      <x:c r="I8" s="247"/>
      <x:c r="J8" s="252" t="str">
        <x:v>单日止损(U)</x:v>
      </x:c>
      <x:c r="K8" s="254" t="n">
        <x:f>'参数设置'!B16</x:f>
        <x:v>100</x:v>
      </x:c>
      <x:c r="L8" s="247"/>
      <x:c r="M8" s="247"/>
      <x:c r="N8" s="247"/>
    </x:row>
    <x:row r="9">
      <x:c r="A9" s="252" t="str">
        <x:v>样本完成度</x:v>
      </x:c>
      <x:c r="B9" s="256" t="n">
        <x:f>IF(B8=0,0,B4/B8)</x:f>
        <x:v>0.04</x:v>
      </x:c>
      <x:c r="C9" s="247"/>
      <x:c r="D9" s="257" t="str">
        <x:v>最大单笔亏损</x:v>
      </x:c>
      <x:c r="E9" s="258" t="n">
        <x:f>MIN(0,'交易日志'!$V$4:$V$303)</x:f>
        <x:v>-96.74922600619196</x:v>
      </x:c>
      <x:c r="F9" s="247"/>
      <x:c r="G9" s="257" t="str">
        <x:v>最差一笔R</x:v>
      </x:c>
      <x:c r="H9" s="259" t="n">
        <x:f>MIN(0,'交易日志'!$W$4:$W$303)</x:f>
        <x:v>0</x:v>
      </x:c>
      <x:c r="I9" s="247"/>
      <x:c r="J9" s="257" t="str">
        <x:v>当前系统版本</x:v>
      </x:c>
      <x:c r="K9" s="260" t="str">
        <x:f>'参数设置'!B12</x:f>
        <x:v>v0.3</x:v>
      </x:c>
      <x:c r="L9" s="247"/>
      <x:c r="M9" s="247"/>
      <x:c r="N9" s="247"/>
    </x:row>
    <x:row r="10">
      <x:c r="A10" s="252" t="str">
        <x:v>有效回测样本</x:v>
      </x:c>
      <x:c r="B10" s="276" t="n">
        <x:f>COUNTIF('回测记录'!$R$4:$R$203,"是")</x:f>
        <x:v>0</x:v>
      </x:c>
      <x:c r="C10" s="247"/>
      <x:c r="D10" s="247"/>
      <x:c r="E10" s="247"/>
      <x:c r="F10" s="247"/>
      <x:c r="G10" s="247"/>
      <x:c r="H10" s="247"/>
      <x:c r="I10" s="247"/>
      <x:c r="J10" s="247"/>
      <x:c r="K10" s="247"/>
      <x:c r="L10" s="247"/>
      <x:c r="M10" s="247"/>
      <x:c r="N10" s="247"/>
    </x:row>
    <x:row r="11">
      <x:c r="A11" s="257" t="str">
        <x:v>目标样本</x:v>
      </x:c>
      <x:c r="B11" s="277" t="n">
        <x:f>'参数设置'!B11</x:f>
        <x:v>100</x:v>
      </x:c>
      <x:c r="C11" s="247"/>
      <x:c r="D11" s="247"/>
      <x:c r="E11" s="247"/>
      <x:c r="F11" s="247"/>
      <x:c r="G11" s="247"/>
      <x:c r="H11" s="247"/>
      <x:c r="I11" s="247"/>
      <x:c r="J11" s="247"/>
      <x:c r="K11" s="247"/>
      <x:c r="L11" s="247"/>
      <x:c r="M11" s="247"/>
      <x:c r="N11" s="247"/>
    </x:row>
    <x:row r="12">
      <x:c r="A12" s="247"/>
      <x:c r="B12" s="247"/>
      <x:c r="C12" s="247"/>
      <x:c r="D12" s="247"/>
      <x:c r="E12" s="247"/>
      <x:c r="F12" s="247"/>
      <x:c r="G12" s="247"/>
      <x:c r="H12" s="247"/>
      <x:c r="I12" s="247"/>
      <x:c r="J12" s="247"/>
      <x:c r="K12" s="247"/>
      <x:c r="L12" s="247"/>
      <x:c r="M12" s="247"/>
      <x:c r="N12" s="247"/>
    </x:row>
    <x:row r="13">
      <x:c r="A13" s="14" t="str">
        <x:v>方向</x:v>
      </x:c>
      <x:c r="B13" s="14" t="str">
        <x:v>交易数</x:v>
      </x:c>
      <x:c r="C13" s="14" t="str">
        <x:v>净盈亏(U)</x:v>
      </x:c>
      <x:c r="D13" s="247"/>
      <x:c r="E13" s="14" t="str">
        <x:v>触发模型</x:v>
      </x:c>
      <x:c r="F13" s="14" t="str">
        <x:v>交易数</x:v>
      </x:c>
      <x:c r="G13" s="14" t="str">
        <x:v>胜率</x:v>
      </x:c>
      <x:c r="H13" s="14" t="str">
        <x:v>期望R</x:v>
      </x:c>
      <x:c r="I13" s="247"/>
      <x:c r="J13" s="14" t="str">
        <x:v>时段</x:v>
      </x:c>
      <x:c r="K13" s="14" t="str">
        <x:v>交易数</x:v>
      </x:c>
      <x:c r="L13" s="14" t="str">
        <x:v>净盈亏(U)</x:v>
      </x:c>
      <x:c r="M13" s="279" t="str">
        <x:v>日期</x:v>
      </x:c>
      <x:c r="N13" s="279" t="str">
        <x:v>累计盈亏(U)</x:v>
      </x:c>
    </x:row>
    <x:row r="14">
      <x:c r="A14" s="261" t="str">
        <x:v>做多</x:v>
      </x:c>
      <x:c r="B14" s="262" t="n">
        <x:f>COUNTIFS('交易日志'!$E$4:$E$303,A14,'交易日志'!$X$4:$X$303,"Win")+COUNTIFS('交易日志'!$E$4:$E$303,A14,'交易日志'!$X$4:$X$303,"Loss")+COUNTIFS('交易日志'!$E$4:$E$303,A14,'交易日志'!$X$4:$X$303,"BE")</x:f>
        <x:v>1</x:v>
      </x:c>
      <x:c r="C14" s="263" t="n">
        <x:f>SUMIF('交易日志'!$E$4:$E$303,A14,'交易日志'!$V$4:$V$303)</x:f>
        <x:v>-96.74922600619196</x:v>
      </x:c>
      <x:c r="D14" s="247"/>
      <x:c r="E14" s="261" t="str">
        <x:v>Sweep+MSS+FVG</x:v>
      </x:c>
      <x:c r="F14" s="262" t="n">
        <x:f>COUNTIFS('交易日志'!$K$4:$K$303,E14,'交易日志'!$X$4:$X$303,"Win")+COUNTIFS('交易日志'!$K$4:$K$303,E14,'交易日志'!$X$4:$X$303,"Loss")+COUNTIFS('交易日志'!$K$4:$K$303,E14,'交易日志'!$X$4:$X$303,"BE")</x:f>
        <x:v>0</x:v>
      </x:c>
      <x:c r="G14" s="264" t="n">
        <x:f>IF(F14=0,0,COUNTIFS('交易日志'!$K$4:$K$303,E14,'交易日志'!$X$4:$X$303,"Win")/F14)</x:f>
        <x:v>0</x:v>
      </x:c>
      <x:c r="H14" s="265" t="n">
        <x:f>IF(COUNTIFS('交易日志'!$K$4:$K$303,E14,'交易日志'!$W$4:$W$303,"&gt;-999999")=0,0,SUMIF('交易日志'!$K$4:$K$303,E14,'交易日志'!$W$4:$W$303)/COUNTIFS('交易日志'!$K$4:$K$303,E14,'交易日志'!$W$4:$W$303,"&gt;-999999"))</x:f>
        <x:v>0</x:v>
      </x:c>
      <x:c r="I14" s="247"/>
      <x:c r="J14" s="261" t="str">
        <x:v>亚洲</x:v>
      </x:c>
      <x:c r="K14" s="262" t="n">
        <x:f>COUNTIFS('交易日志'!$J$4:$J$303,J14,'交易日志'!$X$4:$X$303,"Win")+COUNTIFS('交易日志'!$J$4:$J$303,J14,'交易日志'!$X$4:$X$303,"Loss")+COUNTIFS('交易日志'!$J$4:$J$303,J14,'交易日志'!$X$4:$X$303,"BE")</x:f>
        <x:v>0</x:v>
      </x:c>
      <x:c r="L14" s="263" t="n">
        <x:f>SUMIF('交易日志'!$J$4:$J$303,J14,'交易日志'!$V$4:$V$303)</x:f>
        <x:v>0</x:v>
      </x:c>
      <x:c r="M14" s="281" t="str">
        <x:f>TEXT('交易日志'!B4,"yyyy-mm-dd")</x:f>
        <x:v>2026-06-15</x:v>
      </x:c>
      <x:c r="N14" s="282" t="n">
        <x:f>'交易日志'!AD4</x:f>
        <x:v>-40.76433121019109</x:v>
      </x:c>
    </x:row>
    <x:row r="15">
      <x:c r="A15" s="266" t="str">
        <x:v>做空</x:v>
      </x:c>
      <x:c r="B15" s="267" t="n">
        <x:f>COUNTIFS('交易日志'!$E$4:$E$303,A15,'交易日志'!$X$4:$X$303,"Win")+COUNTIFS('交易日志'!$E$4:$E$303,A15,'交易日志'!$X$4:$X$303,"Loss")+COUNTIFS('交易日志'!$E$4:$E$303,A15,'交易日志'!$X$4:$X$303,"BE")</x:f>
        <x:v>3</x:v>
      </x:c>
      <x:c r="C15" s="268" t="n">
        <x:f>SUMIF('交易日志'!$E$4:$E$303,A15,'交易日志'!$V$4:$V$303)</x:f>
        <x:v>-15.836489570868014</x:v>
      </x:c>
      <x:c r="D15" s="247"/>
      <x:c r="E15" s="269" t="str">
        <x:v>BOS回踩</x:v>
      </x:c>
      <x:c r="F15" s="270" t="n">
        <x:f>COUNTIFS('交易日志'!$K$4:$K$303,E15,'交易日志'!$X$4:$X$303,"Win")+COUNTIFS('交易日志'!$K$4:$K$303,E15,'交易日志'!$X$4:$X$303,"Loss")+COUNTIFS('交易日志'!$K$4:$K$303,E15,'交易日志'!$X$4:$X$303,"BE")</x:f>
        <x:v>0</x:v>
      </x:c>
      <x:c r="G15" s="271" t="n">
        <x:f>IF(F15=0,0,COUNTIFS('交易日志'!$K$4:$K$303,E15,'交易日志'!$X$4:$X$303,"Win")/F15)</x:f>
        <x:v>0</x:v>
      </x:c>
      <x:c r="H15" s="272" t="n">
        <x:f>IF(COUNTIFS('交易日志'!$K$4:$K$303,E15,'交易日志'!$W$4:$W$303,"&gt;-999999")=0,0,SUMIF('交易日志'!$K$4:$K$303,E15,'交易日志'!$W$4:$W$303)/COUNTIFS('交易日志'!$K$4:$K$303,E15,'交易日志'!$W$4:$W$303,"&gt;-999999"))</x:f>
        <x:v>0</x:v>
      </x:c>
      <x:c r="I15" s="247"/>
      <x:c r="J15" s="269" t="str">
        <x:v>伦敦</x:v>
      </x:c>
      <x:c r="K15" s="270" t="n">
        <x:f>COUNTIFS('交易日志'!$J$4:$J$303,J15,'交易日志'!$X$4:$X$303,"Win")+COUNTIFS('交易日志'!$J$4:$J$303,J15,'交易日志'!$X$4:$X$303,"Loss")+COUNTIFS('交易日志'!$J$4:$J$303,J15,'交易日志'!$X$4:$X$303,"BE")</x:f>
        <x:v>0</x:v>
      </x:c>
      <x:c r="L15" s="273" t="n">
        <x:f>SUMIF('交易日志'!$J$4:$J$303,J15,'交易日志'!$V$4:$V$303)</x:f>
        <x:v>0</x:v>
      </x:c>
      <x:c r="M15" s="281" t="str">
        <x:f>TEXT('交易日志'!B5,"yyyy-mm-dd")</x:f>
        <x:v>2026-06-19</x:v>
      </x:c>
      <x:c r="N15" s="282" t="n">
        <x:f>'交易日志'!AD5</x:f>
        <x:v>-32.8529388051278</x:v>
      </x:c>
    </x:row>
    <x:row r="16">
      <x:c r="A16" s="247"/>
      <x:c r="B16" s="247"/>
      <x:c r="C16" s="247"/>
      <x:c r="D16" s="247"/>
      <x:c r="E16" s="269" t="str">
        <x:v>反转OB</x:v>
      </x:c>
      <x:c r="F16" s="270" t="n">
        <x:f>COUNTIFS('交易日志'!$K$4:$K$303,E16,'交易日志'!$X$4:$X$303,"Win")+COUNTIFS('交易日志'!$K$4:$K$303,E16,'交易日志'!$X$4:$X$303,"Loss")+COUNTIFS('交易日志'!$K$4:$K$303,E16,'交易日志'!$X$4:$X$303,"BE")</x:f>
        <x:v>0</x:v>
      </x:c>
      <x:c r="G16" s="271" t="n">
        <x:f>IF(F16=0,0,COUNTIFS('交易日志'!$K$4:$K$303,E16,'交易日志'!$X$4:$X$303,"Win")/F16)</x:f>
        <x:v>0</x:v>
      </x:c>
      <x:c r="H16" s="272" t="n">
        <x:f>IF(COUNTIFS('交易日志'!$K$4:$K$303,E16,'交易日志'!$W$4:$W$303,"&gt;-999999")=0,0,SUMIF('交易日志'!$K$4:$K$303,E16,'交易日志'!$W$4:$W$303)/COUNTIFS('交易日志'!$K$4:$K$303,E16,'交易日志'!$W$4:$W$303,"&gt;-999999"))</x:f>
        <x:v>0</x:v>
      </x:c>
      <x:c r="I16" s="247"/>
      <x:c r="J16" s="269" t="str">
        <x:v>纽约</x:v>
      </x:c>
      <x:c r="K16" s="270" t="n">
        <x:f>COUNTIFS('交易日志'!$J$4:$J$303,J16,'交易日志'!$X$4:$X$303,"Win")+COUNTIFS('交易日志'!$J$4:$J$303,J16,'交易日志'!$X$4:$X$303,"Loss")+COUNTIFS('交易日志'!$J$4:$J$303,J16,'交易日志'!$X$4:$X$303,"BE")</x:f>
        <x:v>0</x:v>
      </x:c>
      <x:c r="L16" s="273" t="n">
        <x:f>SUMIF('交易日志'!$J$4:$J$303,J16,'交易日志'!$V$4:$V$303)</x:f>
        <x:v>0</x:v>
      </x:c>
      <x:c r="M16" s="281" t="str">
        <x:f>TEXT('交易日志'!B6,"yyyy-mm-dd")</x:f>
        <x:v>2026-06-20</x:v>
      </x:c>
      <x:c r="N16" s="282" t="n">
        <x:f>'交易日志'!AD6</x:f>
        <x:v>-129.60216481131977</x:v>
      </x:c>
    </x:row>
    <x:row r="17">
      <x:c r="A17" s="247"/>
      <x:c r="B17" s="247"/>
      <x:c r="C17" s="247"/>
      <x:c r="D17" s="247"/>
      <x:c r="E17" s="269" t="str">
        <x:v>突破延续</x:v>
      </x:c>
      <x:c r="F17" s="270" t="n">
        <x:f>COUNTIFS('交易日志'!$K$4:$K$303,E17,'交易日志'!$X$4:$X$303,"Win")+COUNTIFS('交易日志'!$K$4:$K$303,E17,'交易日志'!$X$4:$X$303,"Loss")+COUNTIFS('交易日志'!$K$4:$K$303,E17,'交易日志'!$X$4:$X$303,"BE")</x:f>
        <x:v>0</x:v>
      </x:c>
      <x:c r="G17" s="271" t="n">
        <x:f>IF(F17=0,0,COUNTIFS('交易日志'!$K$4:$K$303,E17,'交易日志'!$X$4:$X$303,"Win")/F17)</x:f>
        <x:v>0</x:v>
      </x:c>
      <x:c r="H17" s="272" t="n">
        <x:f>IF(COUNTIFS('交易日志'!$K$4:$K$303,E17,'交易日志'!$W$4:$W$303,"&gt;-999999")=0,0,SUMIF('交易日志'!$K$4:$K$303,E17,'交易日志'!$W$4:$W$303)/COUNTIFS('交易日志'!$K$4:$K$303,E17,'交易日志'!$W$4:$W$303,"&gt;-999999"))</x:f>
        <x:v>0</x:v>
      </x:c>
      <x:c r="I17" s="247"/>
      <x:c r="J17" s="269" t="str">
        <x:v>周末</x:v>
      </x:c>
      <x:c r="K17" s="270" t="n">
        <x:f>COUNTIFS('交易日志'!$J$4:$J$303,J17,'交易日志'!$X$4:$X$303,"Win")+COUNTIFS('交易日志'!$J$4:$J$303,J17,'交易日志'!$X$4:$X$303,"Loss")+COUNTIFS('交易日志'!$J$4:$J$303,J17,'交易日志'!$X$4:$X$303,"BE")</x:f>
        <x:v>0</x:v>
      </x:c>
      <x:c r="L17" s="273" t="n">
        <x:f>SUMIF('交易日志'!$J$4:$J$303,J17,'交易日志'!$V$4:$V$303)</x:f>
        <x:v>0</x:v>
      </x:c>
      <x:c r="M17" s="281" t="str">
        <x:f>TEXT('交易日志'!B7,"yyyy-mm-dd")</x:f>
        <x:v>2026-06-22</x:v>
      </x:c>
      <x:c r="N17" s="282" t="n">
        <x:f>'交易日志'!AD7</x:f>
        <x:v>-112.58571557705999</x:v>
      </x:c>
    </x:row>
    <x:row r="18">
      <x:c r="A18" s="247"/>
      <x:c r="B18" s="247"/>
      <x:c r="C18" s="247"/>
      <x:c r="D18" s="247"/>
      <x:c r="E18" s="266" t="str">
        <x:v>未分类</x:v>
      </x:c>
      <x:c r="F18" s="267" t="n">
        <x:f>COUNTIFS('交易日志'!$K$4:$K$303,E18,'交易日志'!$X$4:$X$303,"Win")+COUNTIFS('交易日志'!$K$4:$K$303,E18,'交易日志'!$X$4:$X$303,"Loss")+COUNTIFS('交易日志'!$K$4:$K$303,E18,'交易日志'!$X$4:$X$303,"BE")</x:f>
        <x:v>4</x:v>
      </x:c>
      <x:c r="G18" s="274" t="n">
        <x:f>IF(F18=0,0,COUNTIFS('交易日志'!$K$4:$K$303,E18,'交易日志'!$X$4:$X$303,"Win")/F18)</x:f>
        <x:v>0.5</x:v>
      </x:c>
      <x:c r="H18" s="275" t="n">
        <x:f>IF(COUNTIFS('交易日志'!$K$4:$K$303,E18,'交易日志'!$W$4:$W$303,"&gt;-999999")=0,0,SUMIF('交易日志'!$K$4:$K$303,E18,'交易日志'!$W$4:$W$303)/COUNTIFS('交易日志'!$K$4:$K$303,E18,'交易日志'!$W$4:$W$303,"&gt;-999999"))</x:f>
        <x:v>0</x:v>
      </x:c>
      <x:c r="I18" s="247"/>
      <x:c r="J18" s="266" t="str">
        <x:v>其他</x:v>
      </x:c>
      <x:c r="K18" s="267" t="n">
        <x:f>COUNTIFS('交易日志'!$J$4:$J$303,J18,'交易日志'!$X$4:$X$303,"Win")+COUNTIFS('交易日志'!$J$4:$J$303,J18,'交易日志'!$X$4:$X$303,"Loss")+COUNTIFS('交易日志'!$J$4:$J$303,J18,'交易日志'!$X$4:$X$303,"BE")</x:f>
        <x:v>4</x:v>
      </x:c>
      <x:c r="L18" s="268" t="n">
        <x:f>SUMIF('交易日志'!$J$4:$J$303,J18,'交易日志'!$V$4:$V$303)</x:f>
        <x:v>-112.58571557705999</x:v>
      </x:c>
      <x:c r="M18" s="281" t="str">
        <x:f>TEXT('交易日志'!B8,"yyyy-mm-dd")</x:f>
        <x:v>2026-06-24</x:v>
      </x:c>
      <x:c r="N18" s="282" t="n">
        <x:f>'交易日志'!AD8</x:f>
        <x:v>-112.58571557705999</x:v>
      </x:c>
    </x:row>
    <x:row r="19">
      <x:c r="A19" s="247"/>
      <x:c r="B19" s="247"/>
      <x:c r="C19" s="247"/>
      <x:c r="D19" s="247"/>
      <x:c r="E19" s="247"/>
      <x:c r="F19" s="247"/>
      <x:c r="G19" s="247"/>
      <x:c r="H19" s="247"/>
      <x:c r="I19" s="247"/>
      <x:c r="J19" s="247"/>
      <x:c r="K19" s="247"/>
      <x:c r="L19" s="247"/>
      <x:c r="M19" s="247"/>
      <x:c r="N19" s="247"/>
    </x:row>
    <x:row r="20">
      <x:c r="A20" s="247"/>
      <x:c r="B20" s="247"/>
      <x:c r="C20" s="247"/>
      <x:c r="D20" s="247"/>
      <x:c r="E20" s="247"/>
      <x:c r="F20" s="247"/>
      <x:c r="G20" s="247"/>
      <x:c r="H20" s="247"/>
      <x:c r="I20" s="247"/>
      <x:c r="J20" s="247"/>
      <x:c r="K20" s="247"/>
      <x:c r="L20" s="247"/>
      <x:c r="M20" s="247"/>
      <x:c r="N20" s="247"/>
    </x:row>
    <x:row r="21">
      <x:c r="A21" s="247"/>
      <x:c r="B21" s="247"/>
      <x:c r="C21" s="247"/>
      <x:c r="D21" s="247"/>
      <x:c r="E21" s="247"/>
      <x:c r="F21" s="247"/>
      <x:c r="G21" s="247"/>
      <x:c r="H21" s="247"/>
      <x:c r="I21" s="247"/>
      <x:c r="J21" s="247"/>
      <x:c r="K21" s="247"/>
      <x:c r="L21" s="247"/>
      <x:c r="M21" s="247"/>
      <x:c r="N21" s="247"/>
    </x:row>
    <x:row r="22">
      <x:c r="A22" s="247"/>
      <x:c r="B22" s="247"/>
      <x:c r="C22" s="247"/>
      <x:c r="D22" s="247"/>
      <x:c r="E22" s="247"/>
      <x:c r="F22" s="247"/>
      <x:c r="G22" s="247"/>
      <x:c r="H22" s="247"/>
      <x:c r="I22" s="247"/>
      <x:c r="J22" s="247"/>
      <x:c r="K22" s="247"/>
      <x:c r="L22" s="247"/>
      <x:c r="M22" s="247"/>
      <x:c r="N22" s="247"/>
    </x:row>
    <x:row r="23">
      <x:c r="A23" s="247"/>
      <x:c r="B23" s="247"/>
      <x:c r="C23" s="247"/>
      <x:c r="D23" s="247"/>
      <x:c r="E23" s="247"/>
      <x:c r="F23" s="247"/>
      <x:c r="G23" s="247"/>
      <x:c r="H23" s="247"/>
      <x:c r="I23" s="247"/>
      <x:c r="J23" s="247"/>
      <x:c r="K23" s="247"/>
      <x:c r="L23" s="247"/>
      <x:c r="M23" s="247"/>
      <x:c r="N23" s="247"/>
    </x:row>
    <x:row r="24">
      <x:c r="A24" s="247"/>
      <x:c r="B24" s="247"/>
      <x:c r="C24" s="247"/>
      <x:c r="D24" s="247"/>
      <x:c r="E24" s="247"/>
      <x:c r="F24" s="247"/>
      <x:c r="G24" s="247"/>
      <x:c r="H24" s="247"/>
      <x:c r="I24" s="247"/>
      <x:c r="J24" s="247"/>
      <x:c r="K24" s="247"/>
      <x:c r="L24" s="247"/>
      <x:c r="M24" s="247"/>
      <x:c r="N24" s="247"/>
    </x:row>
    <x:row r="25">
      <x:c r="A25" s="247"/>
      <x:c r="B25" s="247"/>
      <x:c r="C25" s="247"/>
      <x:c r="D25" s="247"/>
      <x:c r="E25" s="247"/>
      <x:c r="F25" s="247"/>
      <x:c r="G25" s="247"/>
      <x:c r="H25" s="247"/>
      <x:c r="I25" s="247"/>
      <x:c r="J25" s="247"/>
      <x:c r="K25" s="247"/>
      <x:c r="L25" s="247"/>
      <x:c r="M25" s="247"/>
      <x:c r="N25" s="247"/>
    </x:row>
    <x:row r="26">
      <x:c r="A26" s="247"/>
      <x:c r="B26" s="247"/>
      <x:c r="C26" s="247"/>
      <x:c r="D26" s="247"/>
      <x:c r="E26" s="247"/>
      <x:c r="F26" s="247"/>
      <x:c r="G26" s="247"/>
      <x:c r="H26" s="247"/>
      <x:c r="I26" s="247"/>
      <x:c r="J26" s="247"/>
      <x:c r="K26" s="247"/>
      <x:c r="L26" s="247"/>
      <x:c r="M26" s="247"/>
      <x:c r="N26" s="247"/>
    </x:row>
    <x:row r="27">
      <x:c r="A27" s="247"/>
      <x:c r="B27" s="247"/>
      <x:c r="C27" s="247"/>
      <x:c r="D27" s="247"/>
      <x:c r="E27" s="247"/>
      <x:c r="F27" s="247"/>
      <x:c r="G27" s="247"/>
      <x:c r="H27" s="247"/>
      <x:c r="I27" s="247"/>
      <x:c r="J27" s="247"/>
      <x:c r="K27" s="247"/>
      <x:c r="L27" s="247"/>
      <x:c r="M27" s="247"/>
      <x:c r="N27" s="247"/>
    </x:row>
    <x:row r="28">
      <x:c r="A28" s="247"/>
      <x:c r="B28" s="247"/>
      <x:c r="C28" s="247"/>
      <x:c r="D28" s="247"/>
      <x:c r="E28" s="247"/>
      <x:c r="F28" s="247"/>
      <x:c r="G28" s="247"/>
      <x:c r="H28" s="247"/>
      <x:c r="I28" s="247"/>
      <x:c r="J28" s="247"/>
      <x:c r="K28" s="247"/>
      <x:c r="L28" s="247"/>
      <x:c r="M28" s="247"/>
      <x:c r="N28" s="247"/>
    </x:row>
    <x:row r="29">
      <x:c r="A29" s="247"/>
      <x:c r="B29" s="247"/>
      <x:c r="C29" s="247"/>
      <x:c r="D29" s="247"/>
      <x:c r="E29" s="247"/>
      <x:c r="F29" s="247"/>
      <x:c r="G29" s="247"/>
      <x:c r="H29" s="247"/>
      <x:c r="I29" s="247"/>
      <x:c r="J29" s="247"/>
      <x:c r="K29" s="247"/>
      <x:c r="L29" s="247"/>
      <x:c r="M29" s="247"/>
      <x:c r="N29" s="247"/>
    </x:row>
    <x:row r="30">
      <x:c r="A30" s="247"/>
      <x:c r="B30" s="247"/>
      <x:c r="C30" s="247"/>
      <x:c r="D30" s="247"/>
      <x:c r="E30" s="247"/>
      <x:c r="F30" s="247"/>
      <x:c r="G30" s="247"/>
      <x:c r="H30" s="247"/>
      <x:c r="I30" s="247"/>
      <x:c r="J30" s="247"/>
      <x:c r="K30" s="247"/>
      <x:c r="L30" s="247"/>
      <x:c r="M30" s="247"/>
      <x:c r="N30" s="247"/>
    </x:row>
    <x:row r="31">
      <x:c r="A31" s="247"/>
      <x:c r="B31" s="247"/>
      <x:c r="C31" s="247"/>
      <x:c r="D31" s="247"/>
      <x:c r="E31" s="247"/>
      <x:c r="F31" s="247"/>
      <x:c r="G31" s="247"/>
      <x:c r="H31" s="247"/>
      <x:c r="I31" s="247"/>
      <x:c r="J31" s="247"/>
      <x:c r="K31" s="247"/>
      <x:c r="L31" s="247"/>
      <x:c r="M31" s="247"/>
      <x:c r="N31" s="247"/>
    </x:row>
    <x:row r="32">
      <x:c r="A32" s="247"/>
      <x:c r="B32" s="247"/>
      <x:c r="C32" s="247"/>
      <x:c r="D32" s="247"/>
      <x:c r="E32" s="247"/>
      <x:c r="F32" s="247"/>
      <x:c r="G32" s="247"/>
      <x:c r="H32" s="247"/>
      <x:c r="I32" s="247"/>
      <x:c r="J32" s="247"/>
      <x:c r="K32" s="247"/>
      <x:c r="L32" s="247"/>
      <x:c r="M32" s="247"/>
      <x:c r="N32" s="247"/>
    </x:row>
    <x:row r="33">
      <x:c r="A33" s="247"/>
      <x:c r="B33" s="247"/>
      <x:c r="C33" s="247"/>
      <x:c r="D33" s="247"/>
      <x:c r="E33" s="247"/>
      <x:c r="F33" s="247"/>
      <x:c r="G33" s="247"/>
      <x:c r="H33" s="247"/>
      <x:c r="I33" s="247"/>
      <x:c r="J33" s="247"/>
      <x:c r="K33" s="247"/>
      <x:c r="L33" s="247"/>
      <x:c r="M33" s="247"/>
      <x:c r="N33" s="247"/>
    </x:row>
    <x:row r="34">
      <x:c r="A34" s="247"/>
      <x:c r="B34" s="247"/>
      <x:c r="C34" s="247"/>
      <x:c r="D34" s="247"/>
      <x:c r="E34" s="247"/>
      <x:c r="F34" s="247"/>
      <x:c r="G34" s="247"/>
      <x:c r="H34" s="247"/>
      <x:c r="I34" s="247"/>
      <x:c r="J34" s="247"/>
      <x:c r="K34" s="247"/>
      <x:c r="L34" s="247"/>
      <x:c r="M34" s="247"/>
      <x:c r="N34" s="247"/>
    </x:row>
    <x:row r="35">
      <x:c r="A35" s="247"/>
      <x:c r="B35" s="247"/>
      <x:c r="C35" s="247"/>
      <x:c r="D35" s="247"/>
      <x:c r="E35" s="247"/>
      <x:c r="F35" s="247"/>
      <x:c r="G35" s="247"/>
      <x:c r="H35" s="247"/>
      <x:c r="I35" s="247"/>
      <x:c r="J35" s="247"/>
      <x:c r="K35" s="247"/>
      <x:c r="L35" s="247"/>
      <x:c r="M35" s="247"/>
      <x:c r="N35" s="247"/>
    </x:row>
    <x:row r="36">
      <x:c r="A36" s="247"/>
      <x:c r="B36" s="247"/>
      <x:c r="C36" s="247"/>
      <x:c r="D36" s="247"/>
      <x:c r="E36" s="247"/>
      <x:c r="F36" s="247"/>
      <x:c r="G36" s="247"/>
      <x:c r="H36" s="247"/>
      <x:c r="I36" s="247"/>
      <x:c r="J36" s="247"/>
      <x:c r="K36" s="247"/>
      <x:c r="L36" s="247"/>
      <x:c r="M36" s="247"/>
      <x:c r="N36" s="247"/>
    </x:row>
    <x:row r="37">
      <x:c r="A37" s="247"/>
      <x:c r="B37" s="247"/>
      <x:c r="C37" s="247"/>
      <x:c r="D37" s="247"/>
      <x:c r="E37" s="247"/>
      <x:c r="F37" s="247"/>
      <x:c r="G37" s="247"/>
      <x:c r="H37" s="247"/>
      <x:c r="I37" s="247"/>
      <x:c r="J37" s="247"/>
      <x:c r="K37" s="247"/>
      <x:c r="L37" s="247"/>
      <x:c r="M37" s="247"/>
      <x:c r="N37" s="247"/>
    </x:row>
    <x:row r="38">
      <x:c r="A38" s="247"/>
      <x:c r="B38" s="247"/>
      <x:c r="C38" s="247"/>
      <x:c r="D38" s="247"/>
      <x:c r="E38" s="247"/>
      <x:c r="F38" s="247"/>
      <x:c r="G38" s="247"/>
      <x:c r="H38" s="247"/>
      <x:c r="I38" s="247"/>
      <x:c r="J38" s="247"/>
      <x:c r="K38" s="247"/>
      <x:c r="L38" s="247"/>
      <x:c r="M38" s="247"/>
      <x:c r="N38" s="247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907333cef4814a3a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4" customHeight="1">
      <x:c r="A1" s="4" t="str">
        <x:v>标准分类（可按版本规则维护）</x:v>
      </x:c>
      <x:c r="B1" s="4" t="str">
        <x:v>标准分类（可按版本规则维护）</x:v>
      </x:c>
      <x:c r="C1" s="4" t="str">
        <x:v>标准分类（可按版本规则维护）</x:v>
      </x:c>
      <x:c r="D1" s="4" t="str">
        <x:v>标准分类（可按版本规则维护）</x:v>
      </x:c>
      <x:c r="E1" s="4" t="str">
        <x:v>标准分类（可按版本规则维护）</x:v>
      </x:c>
      <x:c r="F1" s="4" t="str">
        <x:v>标准分类（可按版本规则维护）</x:v>
      </x:c>
      <x:c r="G1" s="4" t="str">
        <x:v>标准分类（可按版本规则维护）</x:v>
      </x:c>
      <x:c r="H1" s="4" t="str">
        <x:v>标准分类（可按版本规则维护）</x:v>
      </x:c>
      <x:c r="I1" s="4" t="str">
        <x:v>标准分类（可按版本规则维护）</x:v>
      </x:c>
      <x:c r="J1" s="4" t="str">
        <x:v>标准分类（可按版本规则维护）</x:v>
      </x:c>
    </x:row>
    <x:row r="3">
      <x:c r="A3" s="14" t="str">
        <x:v>方向</x:v>
      </x:c>
      <x:c r="B3" s="14" t="str">
        <x:v>状态</x:v>
      </x:c>
      <x:c r="C3" s="14" t="str">
        <x:v>交易风格</x:v>
      </x:c>
      <x:c r="D3" s="14" t="str">
        <x:v>市场环境</x:v>
      </x:c>
      <x:c r="E3" s="14" t="str">
        <x:v>高周期偏向</x:v>
      </x:c>
      <x:c r="F3" s="14" t="str">
        <x:v>交易时段</x:v>
      </x:c>
      <x:c r="G3" s="14" t="str">
        <x:v>触发模型</x:v>
      </x:c>
      <x:c r="H3" s="14" t="str">
        <x:v>流动性方向</x:v>
      </x:c>
      <x:c r="I3" s="14" t="str">
        <x:v>是否</x:v>
      </x:c>
      <x:c r="J3" s="14" t="str">
        <x:v>违规标签</x:v>
      </x:c>
    </x:row>
    <x:row r="4">
      <x:c r="A4" s="116" t="str">
        <x:v>做多</x:v>
      </x:c>
      <x:c r="B4" s="118" t="str">
        <x:v>待计划</x:v>
      </x:c>
      <x:c r="C4" s="116" t="str">
        <x:v>日内</x:v>
      </x:c>
      <x:c r="D4" s="118" t="str">
        <x:v>趋势</x:v>
      </x:c>
      <x:c r="E4" s="116" t="str">
        <x:v>多头</x:v>
      </x:c>
      <x:c r="F4" s="118" t="str">
        <x:v>亚洲</x:v>
      </x:c>
      <x:c r="G4" s="116" t="str">
        <x:v>Sweep+MSS+FVG</x:v>
      </x:c>
      <x:c r="H4" s="118" t="str">
        <x:v>SSL</x:v>
      </x:c>
      <x:c r="I4" s="116" t="str">
        <x:v>是</x:v>
      </x:c>
      <x:c r="J4" s="118" t="str">
        <x:v>无</x:v>
      </x:c>
    </x:row>
    <x:row r="5">
      <x:c r="A5" s="117" t="str">
        <x:v>做空</x:v>
      </x:c>
      <x:c r="B5" s="119" t="str">
        <x:v>持仓中</x:v>
      </x:c>
      <x:c r="C5" s="121" t="str">
        <x:v>波段</x:v>
      </x:c>
      <x:c r="D5" s="119" t="str">
        <x:v>区间</x:v>
      </x:c>
      <x:c r="E5" s="121" t="str">
        <x:v>空头</x:v>
      </x:c>
      <x:c r="F5" s="119" t="str">
        <x:v>伦敦</x:v>
      </x:c>
      <x:c r="G5" s="121" t="str">
        <x:v>BOS回踩</x:v>
      </x:c>
      <x:c r="H5" s="119" t="str">
        <x:v>BSL</x:v>
      </x:c>
      <x:c r="I5" s="121" t="str">
        <x:v>否</x:v>
      </x:c>
      <x:c r="J5" s="119" t="str">
        <x:v>无计划入场</x:v>
      </x:c>
    </x:row>
    <x:row r="6">
      <x:c r="B6" s="119" t="str">
        <x:v>已平仓</x:v>
      </x:c>
      <x:c r="C6" s="121" t="str">
        <x:v>趋势</x:v>
      </x:c>
      <x:c r="D6" s="119" t="str">
        <x:v>混乱</x:v>
      </x:c>
      <x:c r="E6" s="117" t="str">
        <x:v>中性</x:v>
      </x:c>
      <x:c r="F6" s="119" t="str">
        <x:v>纽约</x:v>
      </x:c>
      <x:c r="G6" s="121" t="str">
        <x:v>反转OB</x:v>
      </x:c>
      <x:c r="H6" s="119" t="str">
        <x:v>双侧</x:v>
      </x:c>
      <x:c r="I6" s="117" t="str">
        <x:v>待复盘</x:v>
      </x:c>
      <x:c r="J6" s="119" t="str">
        <x:v>追价</x:v>
      </x:c>
    </x:row>
    <x:row r="7">
      <x:c r="B7" s="119" t="str">
        <x:v>取消</x:v>
      </x:c>
      <x:c r="C7" s="121" t="str">
        <x:v>对冲</x:v>
      </x:c>
      <x:c r="D7" s="120" t="str">
        <x:v>未分类</x:v>
      </x:c>
      <x:c r="F7" s="119" t="str">
        <x:v>周末</x:v>
      </x:c>
      <x:c r="G7" s="121" t="str">
        <x:v>突破延续</x:v>
      </x:c>
      <x:c r="H7" s="119" t="str">
        <x:v>无</x:v>
      </x:c>
      <x:c r="J7" s="119" t="str">
        <x:v>逆高周期</x:v>
      </x:c>
    </x:row>
    <x:row r="8">
      <x:c r="B8" s="120" t="str">
        <x:v>待补充</x:v>
      </x:c>
      <x:c r="C8" s="117" t="str">
        <x:v>其他</x:v>
      </x:c>
      <x:c r="F8" s="119" t="str">
        <x:v>事件窗口</x:v>
      </x:c>
      <x:c r="G8" s="121" t="str">
        <x:v>其他</x:v>
      </x:c>
      <x:c r="H8" s="120" t="str">
        <x:v>未分类</x:v>
      </x:c>
      <x:c r="J8" s="119" t="str">
        <x:v>区间中部</x:v>
      </x:c>
    </x:row>
    <x:row r="9">
      <x:c r="F9" s="120" t="str">
        <x:v>其他</x:v>
      </x:c>
      <x:c r="G9" s="117" t="str">
        <x:v>未分类</x:v>
      </x:c>
      <x:c r="J9" s="119" t="str">
        <x:v>未扫流动性</x:v>
      </x:c>
    </x:row>
    <x:row r="10">
      <x:c r="J10" s="119" t="str">
        <x:v>无位移</x:v>
      </x:c>
    </x:row>
    <x:row r="11">
      <x:c r="J11" s="119" t="str">
        <x:v>无MSS</x:v>
      </x:c>
    </x:row>
    <x:row r="12">
      <x:c r="J12" s="119" t="str">
        <x:v>止损纪律</x:v>
      </x:c>
    </x:row>
    <x:row r="13">
      <x:c r="J13" s="119" t="str">
        <x:v>浮亏加仓</x:v>
      </x:c>
    </x:row>
    <x:row r="14">
      <x:c r="J14" s="119" t="str">
        <x:v>对冲代替止损</x:v>
      </x:c>
    </x:row>
    <x:row r="15">
      <x:c r="J15" s="119" t="str">
        <x:v>情绪提前平仓</x:v>
      </x:c>
    </x:row>
    <x:row r="16">
      <x:c r="J16" s="119" t="str">
        <x:v>过度交易</x:v>
      </x:c>
    </x:row>
    <x:row r="17">
      <x:c r="J17" s="119" t="str">
        <x:v>事件前冒险</x:v>
      </x:c>
    </x:row>
    <x:row r="18">
      <x:c r="J18" s="120" t="str">
        <x:v>其他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24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6" customHeight="1">
      <x:c r="A1" s="292" t="str">
        <x:v>BTC 多周期与持仓框架</x:v>
      </x:c>
      <x:c r="B1" s="292"/>
      <x:c r="C1" s="292"/>
      <x:c r="D1" s="292"/>
      <x:c r="E1" s="292"/>
      <x:c r="F1" s="292"/>
      <x:c r="G1" s="292"/>
      <x:c r="H1" s="292"/>
    </x:row>
    <x:row r="2" ht="30" customHeight="1">
      <x:c r="A2" s="297" t="str">
        <x:v>周期负责分工，不保证固定持仓时间。默认日内研究：4H 定环境 → 1H 定场景 → 15M 等触发；5M 仅作可选精细化。</x:v>
      </x:c>
      <x:c r="B2" s="297"/>
      <x:c r="C2" s="297"/>
      <x:c r="D2" s="297"/>
      <x:c r="E2" s="297"/>
      <x:c r="F2" s="297"/>
      <x:c r="G2" s="297"/>
      <x:c r="H2" s="297"/>
    </x:row>
    <x:row r="4" ht="28" customHeight="1">
      <x:c r="A4" s="303" t="str">
        <x:v>交易类型</x:v>
      </x:c>
      <x:c r="B4" s="303" t="str">
        <x:v>方向 / 环境周期</x:v>
      </x:c>
      <x:c r="C4" s="303" t="str">
        <x:v>结构 / 场景周期</x:v>
      </x:c>
      <x:c r="D4" s="303" t="str">
        <x:v>触发周期</x:v>
      </x:c>
      <x:c r="E4" s="303" t="str">
        <x:v>参考持仓</x:v>
      </x:c>
      <x:c r="F4" s="303" t="str">
        <x:v>当前系统定位</x:v>
      </x:c>
    </x:row>
    <x:row r="5" ht="28" customHeight="1">
      <x:c r="A5" s="308" t="str">
        <x:v>头寸 / 长波段</x:v>
      </x:c>
      <x:c r="B5" s="308" t="str">
        <x:v>1W、1D</x:v>
      </x:c>
      <x:c r="C5" s="308" t="str">
        <x:v>4H</x:v>
      </x:c>
      <x:c r="D5" s="308" t="str">
        <x:v>1H</x:v>
      </x:c>
      <x:c r="E5" s="308" t="str">
        <x:v>数日至数周以上</x:v>
      </x:c>
      <x:c r="F5" s="308" t="str">
        <x:v>仅学习与观察</x:v>
      </x:c>
    </x:row>
    <x:row r="6" ht="28" customHeight="1">
      <x:c r="A6" s="308" t="str">
        <x:v>波段</x:v>
      </x:c>
      <x:c r="B6" s="308" t="str">
        <x:v>1D、4H</x:v>
      </x:c>
      <x:c r="C6" s="308" t="str">
        <x:v>1H</x:v>
      </x:c>
      <x:c r="D6" s="308" t="str">
        <x:v>15M</x:v>
      </x:c>
      <x:c r="E6" s="308" t="str">
        <x:v>数小时至数日</x:v>
      </x:c>
      <x:c r="F6" s="308" t="str">
        <x:v>可回测</x:v>
      </x:c>
    </x:row>
    <x:row r="7" ht="28" customHeight="1">
      <x:c r="A7" s="309" t="str">
        <x:v>日内</x:v>
      </x:c>
      <x:c r="B7" s="309" t="str">
        <x:v>4H</x:v>
      </x:c>
      <x:c r="C7" s="309" t="str">
        <x:v>1H</x:v>
      </x:c>
      <x:c r="D7" s="309" t="str">
        <x:v>15M</x:v>
      </x:c>
      <x:c r="E7" s="309" t="str">
        <x:v>数十分钟至数小时</x:v>
      </x:c>
      <x:c r="F7" s="310" t="str">
        <x:v>默认研究框架</x:v>
      </x:c>
    </x:row>
    <x:row r="8" ht="28" customHeight="1">
      <x:c r="A8" s="308" t="str">
        <x:v>超短线</x:v>
      </x:c>
      <x:c r="B8" s="308" t="str">
        <x:v>1H、15M</x:v>
      </x:c>
      <x:c r="C8" s="308" t="str">
        <x:v>5M、1M</x:v>
      </x:c>
      <x:c r="D8" s="308" t="str">
        <x:v>1M</x:v>
      </x:c>
      <x:c r="E8" s="308" t="str">
        <x:v>数分钟至一小时</x:v>
      </x:c>
      <x:c r="F8" s="308" t="str">
        <x:v>暂不实盘</x:v>
      </x:c>
    </x:row>
    <x:row r="9" ht="28" customHeight="1"/>
    <x:row r="10" ht="28" customHeight="1">
      <x:c r="A10" s="313" t="str">
        <x:v>默认日内决策链</x:v>
      </x:c>
      <x:c r="B10" s="313"/>
      <x:c r="C10" s="313"/>
      <x:c r="D10" s="313"/>
      <x:c r="E10" s="313"/>
      <x:c r="F10" s="313"/>
      <x:c r="G10" s="313"/>
      <x:c r="H10" s="313"/>
    </x:row>
    <x:row r="11" ht="28" customHeight="1">
      <x:c r="A11" s="303" t="str">
        <x:v>步骤</x:v>
      </x:c>
      <x:c r="B11" s="303" t="str">
        <x:v>4H 环境</x:v>
      </x:c>
      <x:c r="C11" s="303" t="str">
        <x:v>1H 场景</x:v>
      </x:c>
      <x:c r="D11" s="303" t="str">
        <x:v>15M 触发</x:v>
      </x:c>
      <x:c r="E11" s="303" t="str">
        <x:v>5M 精细化</x:v>
      </x:c>
      <x:c r="F11" s="303" t="str">
        <x:v>止损</x:v>
      </x:c>
      <x:c r="G11" s="303" t="str">
        <x:v>目标</x:v>
      </x:c>
      <x:c r="H11" s="303" t="str">
        <x:v>仓位</x:v>
      </x:c>
    </x:row>
    <x:row r="12" ht="42" customHeight="1">
      <x:c r="A12" s="308" t="str">
        <x:v>主要任务</x:v>
      </x:c>
      <x:c r="B12" s="308" t="str">
        <x:v>趋势/区间/转换</x:v>
      </x:c>
      <x:c r="C12" s="308" t="str">
        <x:v>位置与预期路径</x:v>
      </x:c>
      <x:c r="D12" s="308" t="str">
        <x:v>完整触发序列</x:v>
      </x:c>
      <x:c r="E12" s="308" t="str">
        <x:v>只缩小执行颗粒</x:v>
      </x:c>
      <x:c r="F12" s="308" t="str">
        <x:v>逻辑失效点之外</x:v>
      </x:c>
      <x:c r="G12" s="308" t="str">
        <x:v>目标流动性</x:v>
      </x:c>
      <x:c r="H12" s="308" t="str">
        <x:v>风险反推</x:v>
      </x:c>
    </x:row>
    <x:row r="13" ht="42" customHeight="1">
      <x:c r="A13" s="308" t="str">
        <x:v>必须标注</x:v>
      </x:c>
      <x:c r="B13" s="308" t="str">
        <x:v>两侧外部流动性</x:v>
      </x:c>
      <x:c r="C13" s="308" t="str">
        <x:v>关键位置与禁做条件</x:v>
      </x:c>
      <x:c r="D13" s="308" t="str">
        <x:v>Sweep + 位移 + MSS</x:v>
      </x:c>
      <x:c r="E13" s="308" t="str">
        <x:v>不得改写高周期</x:v>
      </x:c>
      <x:c r="F13" s="308" t="str">
        <x:v>含滑点缓冲</x:v>
      </x:c>
      <x:c r="G13" s="308" t="str">
        <x:v>内部后外部</x:v>
      </x:c>
      <x:c r="H13" s="308" t="str">
        <x:v>按净值比例</x:v>
      </x:c>
    </x:row>
    <x:row r="14" ht="42" customHeight="1">
      <x:c r="A14" s="308" t="str">
        <x:v>允许信号</x:v>
      </x:c>
      <x:c r="B14" s="308" t="str">
        <x:v>环境偏向</x:v>
      </x:c>
      <x:c r="C14" s="308" t="str">
        <x:v>通道/区间/三角/FVG</x:v>
      </x:c>
      <x:c r="D14" s="308" t="str">
        <x:v>首次回踩位移 FVG</x:v>
      </x:c>
      <x:c r="E14" s="308" t="str">
        <x:v>15M 已触发后的微调</x:v>
      </x:c>
      <x:c r="F14" s="308" t="str">
        <x:v>预先定义</x:v>
      </x:c>
      <x:c r="G14" s="308" t="str">
        <x:v>预先定义</x:v>
      </x:c>
      <x:c r="H14" s="308" t="str">
        <x:v>预先计算</x:v>
      </x:c>
    </x:row>
    <x:row r="15" ht="42" customHeight="1">
      <x:c r="A15" s="315" t="str">
        <x:v>禁止</x:v>
      </x:c>
      <x:c r="B15" s="315" t="str">
        <x:v>追求精确入场</x:v>
      </x:c>
      <x:c r="C15" s="315" t="str">
        <x:v>到位置就下单</x:v>
      </x:c>
      <x:c r="D15" s="315" t="str">
        <x:v>裸追第一根突破 K</x:v>
      </x:c>
      <x:c r="E15" s="315" t="str">
        <x:v>独立定方向</x:v>
      </x:c>
      <x:c r="F15" s="315" t="str">
        <x:v>事后放宽</x:v>
      </x:c>
      <x:c r="G15" s="315" t="str">
        <x:v>因贪婪取消</x:v>
      </x:c>
      <x:c r="H15" s="315" t="str">
        <x:v>浮亏摊平</x:v>
      </x:c>
    </x:row>
    <x:row r="16" ht="28" customHeight="1"/>
    <x:row r="17" ht="28" customHeight="1">
      <x:c r="A17" s="313" t="str">
        <x:v>持仓退出优先级</x:v>
      </x:c>
      <x:c r="B17" s="313"/>
      <x:c r="C17" s="313"/>
      <x:c r="D17" s="313"/>
      <x:c r="E17" s="313"/>
      <x:c r="F17" s="313"/>
      <x:c r="G17" s="313"/>
      <x:c r="H17" s="313"/>
    </x:row>
    <x:row r="18" ht="34" customHeight="1">
      <x:c r="A18" s="303" t="str">
        <x:v>优先级</x:v>
      </x:c>
      <x:c r="B18" s="303" t="str">
        <x:v>退出条件</x:v>
      </x:c>
      <x:c r="C18" s="303" t="str">
        <x:v>动作</x:v>
      </x:c>
      <x:c r="D18" s="303" t="str">
        <x:v>常见错误</x:v>
      </x:c>
      <x:c r="E18" s="345" t="str">
        <x:v>核心提醒
• 参考持仓不是到点强制平仓。
• 不采用固定“100–200 点”止盈止损。
• 通道、三角与区间只提供位置和场景。
• 单独的 FVG、BOS、影线或突破都不是入场理由。
• 条件未齐时，空仓是合格结果。</x:v>
      </x:c>
      <x:c r="F18" s="346"/>
      <x:c r="G18" s="346"/>
      <x:c r="H18" s="347"/>
    </x:row>
    <x:row r="19" ht="34" customHeight="1">
      <x:c r="A19" s="316" t="n">
        <x:v>1</x:v>
      </x:c>
      <x:c r="B19" s="308" t="str">
        <x:v>逻辑失效</x:v>
      </x:c>
      <x:c r="C19" s="308" t="str">
        <x:v>止损退出</x:v>
      </x:c>
      <x:c r="D19" s="308" t="str">
        <x:v>用小周期找借口拖延</x:v>
      </x:c>
      <x:c r="E19" s="348"/>
      <x:c r="F19" s="349"/>
      <x:c r="G19" s="349"/>
      <x:c r="H19" s="350"/>
    </x:row>
    <x:row r="20" ht="34" customHeight="1">
      <x:c r="A20" s="316" t="n">
        <x:v>2</x:v>
      </x:c>
      <x:c r="B20" s="308" t="str">
        <x:v>目标到达</x:v>
      </x:c>
      <x:c r="C20" s="308" t="str">
        <x:v>按计划止盈或分批</x:v>
      </x:c>
      <x:c r="D20" s="308" t="str">
        <x:v>目标前随意移动</x:v>
      </x:c>
      <x:c r="E20" s="348"/>
      <x:c r="F20" s="349"/>
      <x:c r="G20" s="349"/>
      <x:c r="H20" s="350"/>
    </x:row>
    <x:row r="21" ht="34" customHeight="1">
      <x:c r="A21" s="316" t="n">
        <x:v>3</x:v>
      </x:c>
      <x:c r="B21" s="308" t="str">
        <x:v>时间止损</x:v>
      </x:c>
      <x:c r="C21" s="308" t="str">
        <x:v>无延续则减仓/退出</x:v>
      </x:c>
      <x:c r="D21" s="308" t="str">
        <x:v>日内单被动变波段</x:v>
      </x:c>
      <x:c r="E21" s="348"/>
      <x:c r="F21" s="349"/>
      <x:c r="G21" s="349"/>
      <x:c r="H21" s="350"/>
    </x:row>
    <x:row r="22" ht="34" customHeight="1">
      <x:c r="A22" s="316" t="n">
        <x:v>4</x:v>
      </x:c>
      <x:c r="B22" s="308" t="str">
        <x:v>事件风险</x:v>
      </x:c>
      <x:c r="C22" s="308" t="str">
        <x:v>按盘前计划处理</x:v>
      </x:c>
      <x:c r="D22" s="308" t="str">
        <x:v>临时赌消息方向</x:v>
      </x:c>
      <x:c r="E22" s="348"/>
      <x:c r="F22" s="349"/>
      <x:c r="G22" s="349"/>
      <x:c r="H22" s="350"/>
    </x:row>
    <x:row r="23" ht="34" customHeight="1">
      <x:c r="A23" s="316" t="n">
        <x:v>5</x:v>
      </x:c>
      <x:c r="B23" s="308" t="str">
        <x:v>交易时段结束</x:v>
      </x:c>
      <x:c r="C23" s="308" t="str">
        <x:v>日内模型收尾</x:v>
      </x:c>
      <x:c r="D23" s="308" t="str">
        <x:v>因想回本而隔夜</x:v>
      </x:c>
      <x:c r="E23" s="351"/>
      <x:c r="F23" s="352"/>
      <x:c r="G23" s="352"/>
      <x:c r="H23" s="353"/>
    </x:row>
    <x:row r="24" ht="28" customHeight="1"/>
    <x:row r="25" ht="32" customHeight="1">
      <x:c r="A25" s="356" t="str">
        <x:v>参考来源：基于比特币不同时间级别K线图持仓时长及策略的总结参考）.xlsx；已按本系统改写，详见 05_资料/参考资料吸收记录_v0.3.md</x:v>
      </x:c>
      <x:c r="B25" s="356"/>
      <x:c r="C25" s="356"/>
      <x:c r="D25" s="356"/>
      <x:c r="E25" s="356"/>
      <x:c r="F25" s="356"/>
      <x:c r="G25" s="356"/>
      <x:c r="H25" s="356"/>
    </x:row>
  </x:sheetData>
  <x:mergeCells>
    <x:mergeCell ref="A1:H1"/>
    <x:mergeCell ref="A2:H2"/>
    <x:mergeCell ref="A10:H10"/>
    <x:mergeCell ref="A17:H17"/>
    <x:mergeCell ref="E18:H23"/>
    <x:mergeCell ref="A25:H2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52" hidden="0" customWidth="1"/>
    <x:col min="4" max="4" width="48" hidden="0" customWidth="1"/>
  </x:cols>
  <x:sheetData>
    <x:row r="1" ht="36" customHeight="1">
      <x:c r="A1" s="292" t="str">
        <x:v>加密货币与交易术语速查</x:v>
      </x:c>
      <x:c r="B1" s="292"/>
      <x:c r="C1" s="292"/>
      <x:c r="D1" s="292"/>
    </x:row>
    <x:row r="2" ht="32" customHeight="1">
      <x:c r="A2" s="297" t="str">
        <x:v>定义优先服务于 BTC 现货、永续合约和复盘。平台实际订单、保证金、资金费和强平规则，以所用交易所当时说明为准。</x:v>
      </x:c>
      <x:c r="B2" s="297"/>
      <x:c r="C2" s="297"/>
      <x:c r="D2" s="297"/>
    </x:row>
    <x:row r="4" ht="34" customHeight="1">
      <x:c r="A4" s="303" t="str">
        <x:v>类别</x:v>
      </x:c>
      <x:c r="B4" s="303" t="str">
        <x:v>术语</x:v>
      </x:c>
      <x:c r="C4" s="303" t="str">
        <x:v>严谨定义</x:v>
      </x:c>
      <x:c r="D4" s="303" t="str">
        <x:v>系统提醒</x:v>
      </x:c>
    </x:row>
    <x:row r="5" ht="34" customHeight="1">
      <x:c r="A5" s="358" t="str">
        <x:v>保管</x:v>
      </x:c>
      <x:c r="B5" s="359" t="str">
        <x:v>钱包</x:v>
      </x:c>
      <x:c r="C5" s="357" t="str">
        <x:v>管理密钥、生成地址并签名交易的软件或设备。</x:v>
      </x:c>
      <x:c r="D5" s="357" t="str">
        <x:v>币不等于存放在 App；先区分自托管与平台托管。</x:v>
      </x:c>
    </x:row>
    <x:row r="6" ht="34" customHeight="1">
      <x:c r="A6" s="358" t="str">
        <x:v>保管</x:v>
      </x:c>
      <x:c r="B6" s="359" t="str">
        <x:v>私钥</x:v>
      </x:c>
      <x:c r="C6" s="357" t="str">
        <x:v>证明并控制相应资产支出权限的秘密数据。</x:v>
      </x:c>
      <x:c r="D6" s="357" t="str">
        <x:v>不截图、不上传、不交给任何人。</x:v>
      </x:c>
    </x:row>
    <x:row r="7" ht="34" customHeight="1">
      <x:c r="A7" s="358" t="str">
        <x:v>保管</x:v>
      </x:c>
      <x:c r="B7" s="359" t="str">
        <x:v>助记词</x:v>
      </x:c>
      <x:c r="C7" s="357" t="str">
        <x:v>可恢复钱包密钥的一组词。</x:v>
      </x:c>
      <x:c r="D7" s="357" t="str">
        <x:v>获得助记词可能等同于获得资产控制权。</x:v>
      </x:c>
    </x:row>
    <x:row r="8" ht="34" customHeight="1">
      <x:c r="A8" s="358" t="str">
        <x:v>产品</x:v>
      </x:c>
      <x:c r="B8" s="359" t="str">
        <x:v>现货</x:v>
      </x:c>
      <x:c r="C8" s="357" t="str">
        <x:v>直接买卖标的资产并完成账户余额交割。</x:v>
      </x:c>
      <x:c r="D8" s="357" t="str">
        <x:v>与合约绩效分开统计。</x:v>
      </x:c>
    </x:row>
    <x:row r="9" ht="34" customHeight="1">
      <x:c r="A9" s="358" t="str">
        <x:v>产品</x:v>
      </x:c>
      <x:c r="B9" s="359" t="str">
        <x:v>永续合约</x:v>
      </x:c>
      <x:c r="C9" s="357" t="str">
        <x:v>无传统到期日、通常用资金费等机制锚定现货的衍生合约。</x:v>
      </x:c>
      <x:c r="D9" s="357" t="str">
        <x:v>记录 Funding、标记价格和强平规则。</x:v>
      </x:c>
    </x:row>
    <x:row r="10" ht="34" customHeight="1">
      <x:c r="A10" s="358" t="str">
        <x:v>账户</x:v>
      </x:c>
      <x:c r="B10" s="359" t="str">
        <x:v>保证金</x:v>
      </x:c>
      <x:c r="C10" s="357" t="str">
        <x:v>用于维持杠杆头寸的履约担保资金。</x:v>
      </x:c>
      <x:c r="D10" s="357" t="str">
        <x:v>不等于该笔交易可接受的最大损失。</x:v>
      </x:c>
    </x:row>
    <x:row r="11" ht="34" customHeight="1">
      <x:c r="A11" s="358" t="str">
        <x:v>账户</x:v>
      </x:c>
      <x:c r="B11" s="359" t="str">
        <x:v>杠杆</x:v>
      </x:c>
      <x:c r="C11" s="357" t="str">
        <x:v>用较少保证金控制更大名义头寸。</x:v>
      </x:c>
      <x:c r="D11" s="357" t="str">
        <x:v>放大盈亏与强平风险，不提升胜率。</x:v>
      </x:c>
    </x:row>
    <x:row r="12" ht="34" customHeight="1">
      <x:c r="A12" s="358" t="str">
        <x:v>账户</x:v>
      </x:c>
      <x:c r="B12" s="359" t="str">
        <x:v>强平</x:v>
      </x:c>
      <x:c r="C12" s="357" t="str">
        <x:v>账户风险达到平台阈值后被强制减仓或平仓。</x:v>
      </x:c>
      <x:c r="D12" s="357" t="str">
        <x:v>计划止损必须在强平之前并预留滑点。</x:v>
      </x:c>
    </x:row>
    <x:row r="13" ht="34" customHeight="1">
      <x:c r="A13" s="358" t="str">
        <x:v>合约</x:v>
      </x:c>
      <x:c r="B13" s="359" t="str">
        <x:v>Funding</x:v>
      </x:c>
      <x:c r="C13" s="357" t="str">
        <x:v>永续合约多空持仓者按规则交换的费用。</x:v>
      </x:c>
      <x:c r="D13" s="357" t="str">
        <x:v>是成本和拥挤度背景，不是方向预测器。</x:v>
      </x:c>
    </x:row>
    <x:row r="14" ht="34" customHeight="1">
      <x:c r="A14" s="358" t="str">
        <x:v>合约</x:v>
      </x:c>
      <x:c r="B14" s="359" t="str">
        <x:v>名义价值</x:v>
      </x:c>
      <x:c r="C14" s="357" t="str">
        <x:v>头寸所代表的标的总价值。</x:v>
      </x:c>
      <x:c r="D14" s="357" t="str">
        <x:v>仓位须同时受止损距离和账户风险约束。</x:v>
      </x:c>
    </x:row>
    <x:row r="15" ht="34" customHeight="1">
      <x:c r="A15" s="358" t="str">
        <x:v>订单</x:v>
      </x:c>
      <x:c r="B15" s="359" t="str">
        <x:v>市价单</x:v>
      </x:c>
      <x:c r="C15" s="357" t="str">
        <x:v>以当前可获得的最佳价格尽快成交。</x:v>
      </x:c>
      <x:c r="D15" s="357" t="str">
        <x:v>优先成交，不保证精确价格。</x:v>
      </x:c>
    </x:row>
    <x:row r="16" ht="34" customHeight="1">
      <x:c r="A16" s="358" t="str">
        <x:v>订单</x:v>
      </x:c>
      <x:c r="B16" s="359" t="str">
        <x:v>限价单</x:v>
      </x:c>
      <x:c r="C16" s="357" t="str">
        <x:v>只在指定价格或更优价格成交。</x:v>
      </x:c>
      <x:c r="D16" s="357" t="str">
        <x:v>控制价格，但可能不成交。</x:v>
      </x:c>
    </x:row>
    <x:row r="17" ht="34" customHeight="1">
      <x:c r="A17" s="358" t="str">
        <x:v>订单</x:v>
      </x:c>
      <x:c r="B17" s="359" t="str">
        <x:v>止损市价单</x:v>
      </x:c>
      <x:c r="C17" s="357" t="str">
        <x:v>触发后转为市价执行的止损订单。</x:v>
      </x:c>
      <x:c r="D17" s="357" t="str">
        <x:v>极端行情可能滑点。</x:v>
      </x:c>
    </x:row>
    <x:row r="18" ht="34" customHeight="1">
      <x:c r="A18" s="358" t="str">
        <x:v>订单</x:v>
      </x:c>
      <x:c r="B18" s="359" t="str">
        <x:v>止损限价单</x:v>
      </x:c>
      <x:c r="C18" s="357" t="str">
        <x:v>触发后提交限价单。</x:v>
      </x:c>
      <x:c r="D18" s="357" t="str">
        <x:v>价格跳过限价时可能无法成交。</x:v>
      </x:c>
    </x:row>
    <x:row r="19" ht="34" customHeight="1">
      <x:c r="A19" s="358" t="str">
        <x:v>订单</x:v>
      </x:c>
      <x:c r="B19" s="359" t="str">
        <x:v>Maker</x:v>
      </x:c>
      <x:c r="C19" s="357" t="str">
        <x:v>订单进入订单簿并提供流动性的一方。</x:v>
      </x:c>
      <x:c r="D19" s="357" t="str">
        <x:v>不能为了省费牺牲风险退出。</x:v>
      </x:c>
    </x:row>
    <x:row r="20" ht="34" customHeight="1">
      <x:c r="A20" s="358" t="str">
        <x:v>订单</x:v>
      </x:c>
      <x:c r="B20" s="359" t="str">
        <x:v>Taker</x:v>
      </x:c>
      <x:c r="C20" s="357" t="str">
        <x:v>立即与现有委托成交并消耗流动性的一方。</x:v>
      </x:c>
      <x:c r="D20" s="357" t="str">
        <x:v>市价单通常是 Taker。</x:v>
      </x:c>
    </x:row>
    <x:row r="21" ht="34" customHeight="1">
      <x:c r="A21" s="358" t="str">
        <x:v>成交</x:v>
      </x:c>
      <x:c r="B21" s="359" t="str">
        <x:v>点差</x:v>
      </x:c>
      <x:c r="C21" s="357" t="str">
        <x:v>最优卖价与最优买价之间的差。</x:v>
      </x:c>
      <x:c r="D21" s="357" t="str">
        <x:v>点差扩大时降低仓位或放弃交易。</x:v>
      </x:c>
    </x:row>
    <x:row r="22" ht="34" customHeight="1">
      <x:c r="A22" s="358" t="str">
        <x:v>成交</x:v>
      </x:c>
      <x:c r="B22" s="359" t="str">
        <x:v>滑点</x:v>
      </x:c>
      <x:c r="C22" s="357" t="str">
        <x:v>预期成交价与实际成交价的差。</x:v>
      </x:c>
      <x:c r="D22" s="357" t="str">
        <x:v>回测和复盘必须计入。</x:v>
      </x:c>
    </x:row>
    <x:row r="23" ht="34" customHeight="1">
      <x:c r="A23" s="358" t="str">
        <x:v>成交</x:v>
      </x:c>
      <x:c r="B23" s="359" t="str">
        <x:v>流动性</x:v>
      </x:c>
      <x:c r="C23" s="357" t="str">
        <x:v>在较小价格冲击下完成交易的能力。</x:v>
      </x:c>
      <x:c r="D23" s="357" t="str">
        <x:v>SMC 流动性位置不等于真实订单簿全貌。</x:v>
      </x:c>
    </x:row>
    <x:row r="24" ht="34" customHeight="1">
      <x:c r="A24" s="358" t="str">
        <x:v>风险</x:v>
      </x:c>
      <x:c r="B24" s="359" t="str">
        <x:v>仓位</x:v>
      </x:c>
      <x:c r="C24" s="357" t="str">
        <x:v>当前头寸相对账户的风险或名义价值暴露。</x:v>
      </x:c>
      <x:c r="D24" s="357" t="str">
        <x:v>核心看止损触发时亏多少。</x:v>
      </x:c>
    </x:row>
    <x:row r="25" ht="34" customHeight="1">
      <x:c r="A25" s="358" t="str">
        <x:v>风险</x:v>
      </x:c>
      <x:c r="B25" s="359" t="str">
        <x:v>单笔风险</x:v>
      </x:c>
      <x:c r="C25" s="357" t="str">
        <x:v>从计划入场到逻辑失效的预计最大损失。</x:v>
      </x:c>
      <x:c r="D25" s="357" t="str">
        <x:v>研究阶段默认净值 0.25%–0.5%。</x:v>
      </x:c>
    </x:row>
    <x:row r="26" ht="34" customHeight="1">
      <x:c r="A26" s="358" t="str">
        <x:v>风险</x:v>
      </x:c>
      <x:c r="B26" s="359" t="str">
        <x:v>RR</x:v>
      </x:c>
      <x:c r="C26" s="357" t="str">
        <x:v>计划潜在收益与计划潜在风险的比值。</x:v>
      </x:c>
      <x:c r="D26" s="357" t="str">
        <x:v>低于系统最低 RR 时不交易。</x:v>
      </x:c>
    </x:row>
    <x:row r="27" ht="34" customHeight="1">
      <x:c r="A27" s="358" t="str">
        <x:v>绩效</x:v>
      </x:c>
      <x:c r="B27" s="359" t="str">
        <x:v>R 倍数</x:v>
      </x:c>
      <x:c r="C27" s="357" t="str">
        <x:v>实际盈亏除以该笔初始风险。</x:v>
      </x:c>
      <x:c r="D27" s="357" t="str">
        <x:v>用于跨仓位比较交易质量。</x:v>
      </x:c>
    </x:row>
    <x:row r="28" ht="34" customHeight="1">
      <x:c r="A28" s="358" t="str">
        <x:v>绩效</x:v>
      </x:c>
      <x:c r="B28" s="359" t="str">
        <x:v>回撤</x:v>
      </x:c>
      <x:c r="C28" s="357" t="str">
        <x:v>权益从阶段高点到后续低点的下降。</x:v>
      </x:c>
      <x:c r="D28" s="357" t="str">
        <x:v>与胜率、期望值和样本量一起看。</x:v>
      </x:c>
    </x:row>
    <x:row r="29" ht="34" customHeight="1">
      <x:c r="A29" s="358" t="str">
        <x:v>行情</x:v>
      </x:c>
      <x:c r="B29" s="359" t="str">
        <x:v>超买 / 超卖</x:v>
      </x:c>
      <x:c r="C29" s="357" t="str">
        <x:v>指标或分布处于预设极端区间。</x:v>
      </x:c>
      <x:c r="D29" s="357" t="str">
        <x:v>不等于即将必跌或必涨。</x:v>
      </x:c>
    </x:row>
    <x:row r="30" ht="34" customHeight="1">
      <x:c r="A30" s="358" t="str">
        <x:v>黑话</x:v>
      </x:c>
      <x:c r="B30" s="359" t="str">
        <x:v>诱多 / 诱空</x:v>
      </x:c>
      <x:c r="C30" s="357" t="str">
        <x:v>对假突破、扫流动性或失败延续的俗称。</x:v>
      </x:c>
      <x:c r="D30" s="357" t="str">
        <x:v>不假定能知道某个主体的意图。</x:v>
      </x:c>
    </x:row>
    <x:row r="31" ht="34" customHeight="1">
      <x:c r="A31" s="358" t="str">
        <x:v>黑话</x:v>
      </x:c>
      <x:c r="B31" s="359" t="str">
        <x:v>庄家 / 拉盘 / 砸盘</x:v>
      </x:c>
      <x:c r="C31" s="357" t="str">
        <x:v>把价格变化归因于不可见主体意图的社区表达。</x:v>
      </x:c>
      <x:c r="D31" s="357" t="str">
        <x:v>复盘改写成结构、波动、成交与流动性事实。</x:v>
      </x:c>
    </x:row>
    <x:row r="32" ht="34" customHeight="1"/>
    <x:row r="33" ht="34" customHeight="1">
      <x:c r="A33" s="360" t="str">
        <x:v>一手资料</x:v>
      </x:c>
      <x:c r="B33" s="360"/>
      <x:c r="C33" s="360"/>
      <x:c r="D33" s="360"/>
    </x:row>
    <x:row r="34" ht="34" customHeight="1">
      <x:c r="A34" s="303" t="str">
        <x:v>主题</x:v>
      </x:c>
      <x:c r="B34" s="303" t="str">
        <x:v>链接</x:v>
      </x:c>
      <x:c r="C34" s="303"/>
      <x:c r="D34" s="303"/>
    </x:row>
    <x:row r="35" ht="34" customHeight="1">
      <x:c r="A35" s="357" t="str">
        <x:v>钱包与密钥</x:v>
      </x:c>
      <x:c r="B35" s="361" t="str">
        <x:v>https://developer.bitcoin.org/devguide/wallets.html</x:v>
      </x:c>
      <x:c r="C35" s="361"/>
      <x:c r="D35" s="361"/>
    </x:row>
    <x:row r="36" ht="34" customHeight="1">
      <x:c r="A36" s="357" t="str">
        <x:v>私钥与恢复短语</x:v>
      </x:c>
      <x:c r="B36" s="361" t="str">
        <x:v>https://bitcoin.org/en/vocabulary</x:v>
      </x:c>
      <x:c r="C36" s="361"/>
      <x:c r="D36" s="361"/>
    </x:row>
    <x:row r="37" ht="34" customHeight="1">
      <x:c r="A37" s="357" t="str">
        <x:v>杠杆交易风险</x:v>
      </x:c>
      <x:c r="B37" s="361" t="str">
        <x:v>https://www.cftc.gov/LearnAndProtect/AdvisoriesAndArticles/understand_risks_of_virtual_currency.html</x:v>
      </x:c>
      <x:c r="C37" s="361"/>
      <x:c r="D37" s="361"/>
    </x:row>
    <x:row r="38" ht="34" customHeight="1">
      <x:c r="A38" s="357" t="str">
        <x:v>订单类型与执行</x:v>
      </x:c>
      <x:c r="B38" s="361" t="str">
        <x:v>https://help.coinbase.com/en/coinbase/trading-and-funding/advanced-trade/order-types</x:v>
      </x:c>
      <x:c r="C38" s="361"/>
      <x:c r="D38" s="361"/>
    </x:row>
  </x:sheetData>
  <x:mergeCells>
    <x:mergeCell ref="A1:D1"/>
    <x:mergeCell ref="A2:D2"/>
    <x:mergeCell ref="A33:D33"/>
    <x:mergeCell ref="B34:D34"/>
    <x:mergeCell ref="B35:D35"/>
    <x:mergeCell ref="B36:D36"/>
    <x:mergeCell ref="B37:D37"/>
    <x:mergeCell ref="B38:D38"/>
  </x:mergeCells>
  <x:pageMargins left="0.7" right="0.7" top="0.75" bottom="0.75" header="0.3" footer="0.3"/>
</x:worksheet>
</file>