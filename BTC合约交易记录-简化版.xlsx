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huanZ\Desktop\合约记录\"/>
    </mc:Choice>
  </mc:AlternateContent>
  <xr:revisionPtr revIDLastSave="0" documentId="13_ncr:1_{D123C856-35A7-4F69-BC4A-F2026F302D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交易记录" sheetId="1" r:id="rId1"/>
    <sheet name="统计看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B33" i="2"/>
  <c r="C32" i="2"/>
  <c r="B32" i="2"/>
  <c r="B31" i="2"/>
  <c r="C30" i="2"/>
  <c r="B30" i="2"/>
  <c r="B29" i="2"/>
  <c r="B28" i="2"/>
  <c r="D21" i="2"/>
  <c r="B21" i="2"/>
  <c r="C21" i="2" s="1"/>
  <c r="D20" i="2"/>
  <c r="B20" i="2"/>
  <c r="C20" i="2" s="1"/>
  <c r="B19" i="2"/>
  <c r="B18" i="2"/>
  <c r="C18" i="2" s="1"/>
  <c r="D17" i="2"/>
  <c r="B17" i="2"/>
  <c r="B16" i="2"/>
  <c r="C16" i="2" s="1"/>
  <c r="B9" i="2"/>
  <c r="B4" i="2"/>
  <c r="K203" i="1"/>
  <c r="J203" i="1"/>
  <c r="J202" i="1"/>
  <c r="K202" i="1" s="1"/>
  <c r="K201" i="1"/>
  <c r="J201" i="1"/>
  <c r="J200" i="1"/>
  <c r="K200" i="1" s="1"/>
  <c r="K199" i="1"/>
  <c r="J199" i="1"/>
  <c r="J198" i="1"/>
  <c r="K198" i="1" s="1"/>
  <c r="K197" i="1"/>
  <c r="J197" i="1"/>
  <c r="K196" i="1"/>
  <c r="J196" i="1"/>
  <c r="J195" i="1"/>
  <c r="K195" i="1" s="1"/>
  <c r="J194" i="1"/>
  <c r="K194" i="1" s="1"/>
  <c r="K193" i="1"/>
  <c r="J193" i="1"/>
  <c r="K192" i="1"/>
  <c r="J192" i="1"/>
  <c r="K191" i="1"/>
  <c r="J191" i="1"/>
  <c r="J190" i="1"/>
  <c r="K190" i="1" s="1"/>
  <c r="K189" i="1"/>
  <c r="J189" i="1"/>
  <c r="J188" i="1"/>
  <c r="K188" i="1" s="1"/>
  <c r="K187" i="1"/>
  <c r="J187" i="1"/>
  <c r="J186" i="1"/>
  <c r="K186" i="1" s="1"/>
  <c r="J185" i="1"/>
  <c r="K185" i="1" s="1"/>
  <c r="J184" i="1"/>
  <c r="K184" i="1" s="1"/>
  <c r="K183" i="1"/>
  <c r="J183" i="1"/>
  <c r="J182" i="1"/>
  <c r="K182" i="1" s="1"/>
  <c r="K181" i="1"/>
  <c r="J181" i="1"/>
  <c r="J180" i="1"/>
  <c r="K180" i="1" s="1"/>
  <c r="K179" i="1"/>
  <c r="J179" i="1"/>
  <c r="J178" i="1"/>
  <c r="K178" i="1" s="1"/>
  <c r="K177" i="1"/>
  <c r="J177" i="1"/>
  <c r="K176" i="1"/>
  <c r="J176" i="1"/>
  <c r="J175" i="1"/>
  <c r="K175" i="1" s="1"/>
  <c r="J174" i="1"/>
  <c r="K174" i="1" s="1"/>
  <c r="K173" i="1"/>
  <c r="J173" i="1"/>
  <c r="K172" i="1"/>
  <c r="J172" i="1"/>
  <c r="K171" i="1"/>
  <c r="J171" i="1"/>
  <c r="J170" i="1"/>
  <c r="K170" i="1" s="1"/>
  <c r="K169" i="1"/>
  <c r="J169" i="1"/>
  <c r="J168" i="1"/>
  <c r="K168" i="1" s="1"/>
  <c r="K167" i="1"/>
  <c r="J167" i="1"/>
  <c r="J166" i="1"/>
  <c r="K166" i="1" s="1"/>
  <c r="J165" i="1"/>
  <c r="K165" i="1" s="1"/>
  <c r="J164" i="1"/>
  <c r="K164" i="1" s="1"/>
  <c r="K163" i="1"/>
  <c r="J163" i="1"/>
  <c r="J162" i="1"/>
  <c r="K162" i="1" s="1"/>
  <c r="K161" i="1"/>
  <c r="J161" i="1"/>
  <c r="J160" i="1"/>
  <c r="K160" i="1" s="1"/>
  <c r="K159" i="1"/>
  <c r="J159" i="1"/>
  <c r="J158" i="1"/>
  <c r="K158" i="1" s="1"/>
  <c r="K157" i="1"/>
  <c r="J157" i="1"/>
  <c r="K156" i="1"/>
  <c r="J156" i="1"/>
  <c r="J155" i="1"/>
  <c r="K155" i="1" s="1"/>
  <c r="J154" i="1"/>
  <c r="K154" i="1" s="1"/>
  <c r="K153" i="1"/>
  <c r="J153" i="1"/>
  <c r="K152" i="1"/>
  <c r="J152" i="1"/>
  <c r="K151" i="1"/>
  <c r="J151" i="1"/>
  <c r="J150" i="1"/>
  <c r="K150" i="1" s="1"/>
  <c r="K149" i="1"/>
  <c r="J149" i="1"/>
  <c r="J148" i="1"/>
  <c r="K148" i="1" s="1"/>
  <c r="K147" i="1"/>
  <c r="J147" i="1"/>
  <c r="J146" i="1"/>
  <c r="K146" i="1" s="1"/>
  <c r="J145" i="1"/>
  <c r="K145" i="1" s="1"/>
  <c r="J144" i="1"/>
  <c r="K144" i="1" s="1"/>
  <c r="K143" i="1"/>
  <c r="J143" i="1"/>
  <c r="J142" i="1"/>
  <c r="K142" i="1" s="1"/>
  <c r="K141" i="1"/>
  <c r="J141" i="1"/>
  <c r="J140" i="1"/>
  <c r="K140" i="1" s="1"/>
  <c r="K139" i="1"/>
  <c r="J139" i="1"/>
  <c r="J138" i="1"/>
  <c r="K138" i="1" s="1"/>
  <c r="K137" i="1"/>
  <c r="J137" i="1"/>
  <c r="K136" i="1"/>
  <c r="J136" i="1"/>
  <c r="J135" i="1"/>
  <c r="K135" i="1" s="1"/>
  <c r="J134" i="1"/>
  <c r="K134" i="1" s="1"/>
  <c r="K133" i="1"/>
  <c r="J133" i="1"/>
  <c r="K132" i="1"/>
  <c r="J132" i="1"/>
  <c r="K131" i="1"/>
  <c r="J131" i="1"/>
  <c r="J130" i="1"/>
  <c r="K130" i="1" s="1"/>
  <c r="K129" i="1"/>
  <c r="J129" i="1"/>
  <c r="J128" i="1"/>
  <c r="K128" i="1" s="1"/>
  <c r="K127" i="1"/>
  <c r="J127" i="1"/>
  <c r="J126" i="1"/>
  <c r="K126" i="1" s="1"/>
  <c r="J125" i="1"/>
  <c r="K125" i="1" s="1"/>
  <c r="J124" i="1"/>
  <c r="K124" i="1" s="1"/>
  <c r="K123" i="1"/>
  <c r="J123" i="1"/>
  <c r="J122" i="1"/>
  <c r="K122" i="1" s="1"/>
  <c r="K121" i="1"/>
  <c r="J121" i="1"/>
  <c r="J120" i="1"/>
  <c r="K120" i="1" s="1"/>
  <c r="K119" i="1"/>
  <c r="J119" i="1"/>
  <c r="J118" i="1"/>
  <c r="K118" i="1" s="1"/>
  <c r="K117" i="1"/>
  <c r="J117" i="1"/>
  <c r="K116" i="1"/>
  <c r="J116" i="1"/>
  <c r="J115" i="1"/>
  <c r="K115" i="1" s="1"/>
  <c r="J114" i="1"/>
  <c r="K114" i="1" s="1"/>
  <c r="K113" i="1"/>
  <c r="J113" i="1"/>
  <c r="K112" i="1"/>
  <c r="J112" i="1"/>
  <c r="K111" i="1"/>
  <c r="J111" i="1"/>
  <c r="J110" i="1"/>
  <c r="K110" i="1" s="1"/>
  <c r="K109" i="1"/>
  <c r="J109" i="1"/>
  <c r="J108" i="1"/>
  <c r="K108" i="1" s="1"/>
  <c r="K107" i="1"/>
  <c r="J107" i="1"/>
  <c r="J106" i="1"/>
  <c r="K106" i="1" s="1"/>
  <c r="J105" i="1"/>
  <c r="K105" i="1" s="1"/>
  <c r="J104" i="1"/>
  <c r="K104" i="1" s="1"/>
  <c r="K103" i="1"/>
  <c r="J103" i="1"/>
  <c r="J102" i="1"/>
  <c r="K102" i="1" s="1"/>
  <c r="K101" i="1"/>
  <c r="J101" i="1"/>
  <c r="J100" i="1"/>
  <c r="K100" i="1" s="1"/>
  <c r="K99" i="1"/>
  <c r="J99" i="1"/>
  <c r="J98" i="1"/>
  <c r="K98" i="1" s="1"/>
  <c r="K97" i="1"/>
  <c r="J97" i="1"/>
  <c r="K96" i="1"/>
  <c r="J96" i="1"/>
  <c r="J95" i="1"/>
  <c r="K95" i="1" s="1"/>
  <c r="J94" i="1"/>
  <c r="K94" i="1" s="1"/>
  <c r="K93" i="1"/>
  <c r="J93" i="1"/>
  <c r="K92" i="1"/>
  <c r="J92" i="1"/>
  <c r="K91" i="1"/>
  <c r="J91" i="1"/>
  <c r="J90" i="1"/>
  <c r="K90" i="1" s="1"/>
  <c r="K89" i="1"/>
  <c r="J89" i="1"/>
  <c r="J88" i="1"/>
  <c r="K88" i="1" s="1"/>
  <c r="K87" i="1"/>
  <c r="J87" i="1"/>
  <c r="J86" i="1"/>
  <c r="K86" i="1" s="1"/>
  <c r="J85" i="1"/>
  <c r="K85" i="1" s="1"/>
  <c r="J84" i="1"/>
  <c r="K84" i="1" s="1"/>
  <c r="K83" i="1"/>
  <c r="J83" i="1"/>
  <c r="J82" i="1"/>
  <c r="K82" i="1" s="1"/>
  <c r="K81" i="1"/>
  <c r="J81" i="1"/>
  <c r="J80" i="1"/>
  <c r="K80" i="1" s="1"/>
  <c r="K79" i="1"/>
  <c r="J79" i="1"/>
  <c r="J78" i="1"/>
  <c r="K78" i="1" s="1"/>
  <c r="K77" i="1"/>
  <c r="J77" i="1"/>
  <c r="K76" i="1"/>
  <c r="J76" i="1"/>
  <c r="J75" i="1"/>
  <c r="K75" i="1" s="1"/>
  <c r="J74" i="1"/>
  <c r="K74" i="1" s="1"/>
  <c r="K73" i="1"/>
  <c r="J73" i="1"/>
  <c r="K72" i="1"/>
  <c r="J72" i="1"/>
  <c r="K71" i="1"/>
  <c r="J71" i="1"/>
  <c r="J70" i="1"/>
  <c r="K70" i="1" s="1"/>
  <c r="K69" i="1"/>
  <c r="J69" i="1"/>
  <c r="J68" i="1"/>
  <c r="K68" i="1" s="1"/>
  <c r="K67" i="1"/>
  <c r="J67" i="1"/>
  <c r="J66" i="1"/>
  <c r="K66" i="1" s="1"/>
  <c r="J65" i="1"/>
  <c r="K65" i="1" s="1"/>
  <c r="J64" i="1"/>
  <c r="K64" i="1" s="1"/>
  <c r="K63" i="1"/>
  <c r="J63" i="1"/>
  <c r="J62" i="1"/>
  <c r="K62" i="1" s="1"/>
  <c r="K61" i="1"/>
  <c r="J61" i="1"/>
  <c r="J60" i="1"/>
  <c r="K60" i="1" s="1"/>
  <c r="K59" i="1"/>
  <c r="J59" i="1"/>
  <c r="J58" i="1"/>
  <c r="K58" i="1" s="1"/>
  <c r="K57" i="1"/>
  <c r="J57" i="1"/>
  <c r="K56" i="1"/>
  <c r="J56" i="1"/>
  <c r="J55" i="1"/>
  <c r="K55" i="1" s="1"/>
  <c r="J54" i="1"/>
  <c r="K54" i="1" s="1"/>
  <c r="K53" i="1"/>
  <c r="J53" i="1"/>
  <c r="K52" i="1"/>
  <c r="J52" i="1"/>
  <c r="K51" i="1"/>
  <c r="J51" i="1"/>
  <c r="J50" i="1"/>
  <c r="K50" i="1" s="1"/>
  <c r="K49" i="1"/>
  <c r="J49" i="1"/>
  <c r="J48" i="1"/>
  <c r="K48" i="1" s="1"/>
  <c r="K47" i="1"/>
  <c r="J47" i="1"/>
  <c r="J46" i="1"/>
  <c r="K46" i="1" s="1"/>
  <c r="J45" i="1"/>
  <c r="K45" i="1" s="1"/>
  <c r="J44" i="1"/>
  <c r="K44" i="1" s="1"/>
  <c r="K43" i="1"/>
  <c r="J43" i="1"/>
  <c r="J42" i="1"/>
  <c r="K42" i="1" s="1"/>
  <c r="K41" i="1"/>
  <c r="J41" i="1"/>
  <c r="J40" i="1"/>
  <c r="K40" i="1" s="1"/>
  <c r="K39" i="1"/>
  <c r="J39" i="1"/>
  <c r="J38" i="1"/>
  <c r="K38" i="1" s="1"/>
  <c r="K37" i="1"/>
  <c r="J37" i="1"/>
  <c r="K36" i="1"/>
  <c r="J36" i="1"/>
  <c r="J35" i="1"/>
  <c r="K35" i="1" s="1"/>
  <c r="J34" i="1"/>
  <c r="K34" i="1" s="1"/>
  <c r="K33" i="1"/>
  <c r="J33" i="1"/>
  <c r="K32" i="1"/>
  <c r="J32" i="1"/>
  <c r="K31" i="1"/>
  <c r="J31" i="1"/>
  <c r="J30" i="1"/>
  <c r="K30" i="1" s="1"/>
  <c r="K29" i="1"/>
  <c r="J29" i="1"/>
  <c r="J28" i="1"/>
  <c r="K28" i="1" s="1"/>
  <c r="K27" i="1"/>
  <c r="J27" i="1"/>
  <c r="J26" i="1"/>
  <c r="K26" i="1" s="1"/>
  <c r="J25" i="1"/>
  <c r="K25" i="1" s="1"/>
  <c r="J24" i="1"/>
  <c r="K24" i="1" s="1"/>
  <c r="K23" i="1"/>
  <c r="J23" i="1"/>
  <c r="J22" i="1"/>
  <c r="K22" i="1" s="1"/>
  <c r="K21" i="1"/>
  <c r="J21" i="1"/>
  <c r="J20" i="1"/>
  <c r="K20" i="1" s="1"/>
  <c r="K19" i="1"/>
  <c r="J19" i="1"/>
  <c r="J18" i="1"/>
  <c r="K18" i="1" s="1"/>
  <c r="K17" i="1"/>
  <c r="J17" i="1"/>
  <c r="K16" i="1"/>
  <c r="J16" i="1"/>
  <c r="J15" i="1"/>
  <c r="K15" i="1" s="1"/>
  <c r="J14" i="1"/>
  <c r="K14" i="1" s="1"/>
  <c r="K13" i="1"/>
  <c r="J13" i="1"/>
  <c r="K12" i="1"/>
  <c r="J12" i="1"/>
  <c r="K11" i="1"/>
  <c r="J11" i="1"/>
  <c r="J10" i="1"/>
  <c r="K10" i="1" s="1"/>
  <c r="K9" i="1"/>
  <c r="J9" i="1"/>
  <c r="J8" i="1"/>
  <c r="K8" i="1" s="1"/>
  <c r="K7" i="1"/>
  <c r="J7" i="1"/>
  <c r="D18" i="2" s="1"/>
  <c r="J6" i="1"/>
  <c r="C29" i="2" s="1"/>
  <c r="J5" i="1"/>
  <c r="D19" i="2" s="1"/>
  <c r="J4" i="1"/>
  <c r="K4" i="1" s="1"/>
  <c r="B36" i="2" l="1"/>
  <c r="B6" i="2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B7" i="2"/>
  <c r="K5" i="1"/>
  <c r="C19" i="2" s="1"/>
  <c r="B10" i="2"/>
  <c r="B24" i="2"/>
  <c r="K6" i="1"/>
  <c r="C17" i="2" s="1"/>
  <c r="B11" i="2"/>
  <c r="B25" i="2"/>
  <c r="C28" i="2"/>
  <c r="D16" i="2"/>
  <c r="C31" i="2"/>
  <c r="B8" i="2" l="1"/>
  <c r="B5" i="2"/>
  <c r="B37" i="2"/>
</calcChain>
</file>

<file path=xl/sharedStrings.xml><?xml version="1.0" encoding="utf-8"?>
<sst xmlns="http://schemas.openxmlformats.org/spreadsheetml/2006/main" count="81" uniqueCount="53">
  <si>
    <t>BTC合约交易记录</t>
  </si>
  <si>
    <t>只需填写基础数据，盈亏、胜率等自动计算。类型支持下拉选择。</t>
  </si>
  <si>
    <t>开单日期</t>
  </si>
  <si>
    <t>产品</t>
  </si>
  <si>
    <t>方向</t>
  </si>
  <si>
    <t>类型</t>
  </si>
  <si>
    <t>开仓价</t>
  </si>
  <si>
    <t>平仓价</t>
  </si>
  <si>
    <t>仓位(U)</t>
  </si>
  <si>
    <t>止盈价</t>
  </si>
  <si>
    <t>止损价</t>
  </si>
  <si>
    <t>盈亏(U)</t>
  </si>
  <si>
    <t>结果</t>
  </si>
  <si>
    <t>备注</t>
  </si>
  <si>
    <t>累计盈亏(U)</t>
  </si>
  <si>
    <t>2026-06-19</t>
  </si>
  <si>
    <t>BTCUSDT</t>
  </si>
  <si>
    <t>做空</t>
  </si>
  <si>
    <t>短线</t>
  </si>
  <si>
    <t>空单扛单到65500因恐惧开对冲最终空小赚对冲大亏两笔错误叠加</t>
  </si>
  <si>
    <t>2026-06-20</t>
  </si>
  <si>
    <t>做多</t>
  </si>
  <si>
    <t>对冲</t>
  </si>
  <si>
    <t>恐惧上涨开的对冲多单行情反转大亏教训扛单应直接止损</t>
  </si>
  <si>
    <t>2026-06-15</t>
  </si>
  <si>
    <t>波段</t>
  </si>
  <si>
    <t>扛单不止损到66000被迫止损离场</t>
  </si>
  <si>
    <t>2026-06-22</t>
  </si>
  <si>
    <t>ETHUSDT</t>
  </si>
  <si>
    <t>趋势</t>
  </si>
  <si>
    <t>ETH空单方向正确计划1720止盈却1753提前跑路卖飞</t>
  </si>
  <si>
    <t>超跌反弹 底部出现见底 有承接</t>
  </si>
  <si>
    <t>交易统计看板</t>
  </si>
  <si>
    <t>指标</t>
  </si>
  <si>
    <t>数值</t>
  </si>
  <si>
    <t>总交易数</t>
  </si>
  <si>
    <t>总盈利</t>
  </si>
  <si>
    <t>总亏损</t>
  </si>
  <si>
    <t>净盈亏(U)</t>
  </si>
  <si>
    <t>胜率</t>
  </si>
  <si>
    <t>盈亏比</t>
  </si>
  <si>
    <t>最大盈利</t>
  </si>
  <si>
    <t>最大亏损</t>
  </si>
  <si>
    <t>按类型统计</t>
  </si>
  <si>
    <t>交易次数</t>
  </si>
  <si>
    <t>网格</t>
  </si>
  <si>
    <t>其他</t>
  </si>
  <si>
    <t>方向盈亏</t>
  </si>
  <si>
    <t>类型盈亏</t>
  </si>
  <si>
    <t>盈亏分布</t>
  </si>
  <si>
    <t>数量</t>
  </si>
  <si>
    <t>盈利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</si>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</sst>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宋体"/>
      <charset val="134"/>
      <scheme val="minor"/>
    </font>
    <font>
      <b/>
      <sz val="14"/>
      <color rgb="FF2F5496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b/>
      <sz val="11"/>
      <color rgb="FF2F5496"/>
      <name val="微软雅黑"/>
      <charset val="134"/>
    </font>
    <font>
      <sz val="10"/>
      <name val="微软雅黑"/>
      <charset val="134"/>
    </font>
    <font>
      <sz val="9"/>
      <color rgb="FF666666"/>
      <name val="微软雅黑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方向盈亏对比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统计看板!$A$23</c:f>
              <c:strCache>
                <c:ptCount val="1"/>
                <c:pt idx="0">
                  <c:v>方向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  <a:prstDash val="solid"/>
            </a:ln>
          </c:spPr>
          <c:invertIfNegative val="1"/>
          <c:cat>
            <c:strRef>
              <c:f>统计看板!$A$24:$A$25</c:f>
              <c:strCache>
                <c:ptCount val="2"/>
                <c:pt idx="0">
                  <c:v>做多</c:v>
                </c:pt>
                <c:pt idx="1">
                  <c:v>做空</c:v>
                </c:pt>
              </c:strCache>
            </c:strRef>
          </c:cat>
          <c:val>
            <c:numRef>
              <c:f>统计看板!$A$24:$A$25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1-44CE-BF27-43DB7A59982E}"/>
            </c:ext>
          </c:extLst>
        </c:ser>
        <c:ser>
          <c:idx val="1"/>
          <c:order val="1"/>
          <c:tx>
            <c:strRef>
              <c:f>统计看板!$B$23</c:f>
              <c:strCache>
                <c:ptCount val="1"/>
                <c:pt idx="0">
                  <c:v>净盈亏(U)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  <a:prstDash val="solid"/>
            </a:ln>
          </c:spPr>
          <c:invertIfNegative val="1"/>
          <c:cat>
            <c:strRef>
              <c:f>统计看板!$A$24:$A$25</c:f>
              <c:strCache>
                <c:ptCount val="2"/>
                <c:pt idx="0">
                  <c:v>做多</c:v>
                </c:pt>
                <c:pt idx="1">
                  <c:v>做空</c:v>
                </c:pt>
              </c:strCache>
            </c:strRef>
          </c:cat>
          <c:val>
            <c:numRef>
              <c:f>统计看板!$B$24:$B$25</c:f>
              <c:numCache>
                <c:formatCode>#,##0.00</c:formatCode>
                <c:ptCount val="2"/>
                <c:pt idx="0">
                  <c:v>-2483.5492260061919</c:v>
                </c:pt>
                <c:pt idx="1">
                  <c:v>-15.836489570868014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1-44CE-BF27-43DB7A599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方向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盈亏</a:t>
                </a:r>
                <a:r>
                  <a:rPr lang="en-US" altLang="zh-CN"/>
                  <a:t>(</a:t>
                </a:r>
                <a:r>
                  <a:rPr lang="en-US"/>
                  <a:t>U)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按类型净盈亏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统计看板!$C$27</c:f>
              <c:strCache>
                <c:ptCount val="1"/>
                <c:pt idx="0">
                  <c:v>净盈亏(U)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638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4E-46B1-A5C3-16B0B8D6A9D9}"/>
              </c:ext>
            </c:extLst>
          </c:dPt>
          <c:dPt>
            <c:idx val="1"/>
            <c:invertIfNegative val="1"/>
            <c:bubble3D val="0"/>
            <c:spPr>
              <a:solidFill>
                <a:srgbClr val="36A2E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4E-46B1-A5C3-16B0B8D6A9D9}"/>
              </c:ext>
            </c:extLst>
          </c:dPt>
          <c:dPt>
            <c:idx val="2"/>
            <c:invertIfNegative val="1"/>
            <c:bubble3D val="0"/>
            <c:spPr>
              <a:solidFill>
                <a:srgbClr val="FFCE5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4E-46B1-A5C3-16B0B8D6A9D9}"/>
              </c:ext>
            </c:extLst>
          </c:dPt>
          <c:dPt>
            <c:idx val="3"/>
            <c:invertIfNegative val="1"/>
            <c:bubble3D val="0"/>
            <c:spPr>
              <a:solidFill>
                <a:srgbClr val="9966F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F4E-46B1-A5C3-16B0B8D6A9D9}"/>
              </c:ext>
            </c:extLst>
          </c:dPt>
          <c:dPt>
            <c:idx val="4"/>
            <c:invertIfNegative val="1"/>
            <c:bubble3D val="0"/>
            <c:spPr>
              <a:solidFill>
                <a:srgbClr val="4BC0C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F4E-46B1-A5C3-16B0B8D6A9D9}"/>
              </c:ext>
            </c:extLst>
          </c:dPt>
          <c:dPt>
            <c:idx val="5"/>
            <c:invertIfNegative val="1"/>
            <c:bubble3D val="0"/>
            <c:spPr>
              <a:solidFill>
                <a:srgbClr val="FF9F4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F4E-46B1-A5C3-16B0B8D6A9D9}"/>
              </c:ext>
            </c:extLst>
          </c:dPt>
          <c:cat>
            <c:strRef>
              <c:f>统计看板!$A$28:$A$33</c:f>
              <c:strCache>
                <c:ptCount val="6"/>
                <c:pt idx="0">
                  <c:v>短线</c:v>
                </c:pt>
                <c:pt idx="1">
                  <c:v>波段</c:v>
                </c:pt>
                <c:pt idx="2">
                  <c:v>趋势</c:v>
                </c:pt>
                <c:pt idx="3">
                  <c:v>对冲</c:v>
                </c:pt>
                <c:pt idx="4">
                  <c:v>网格</c:v>
                </c:pt>
                <c:pt idx="5">
                  <c:v>其他</c:v>
                </c:pt>
              </c:strCache>
            </c:strRef>
          </c:cat>
          <c:val>
            <c:numRef>
              <c:f>统计看板!$C$28:$C$33</c:f>
              <c:numCache>
                <c:formatCode>#,##0.00</c:formatCode>
                <c:ptCount val="6"/>
                <c:pt idx="0">
                  <c:v>-2378.8886075949367</c:v>
                </c:pt>
                <c:pt idx="1">
                  <c:v>-40.764331210191088</c:v>
                </c:pt>
                <c:pt idx="2">
                  <c:v>17.016449234259785</c:v>
                </c:pt>
                <c:pt idx="3">
                  <c:v>-96.749226006191961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4F4E-46B1-A5C3-16B0B8D6A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 b="1"/>
                  <a:t>交易类型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 b="1"/>
                  <a:t>盈亏</a:t>
                </a:r>
                <a:r>
                  <a:rPr lang="en-US" altLang="zh-CN" sz="1100" b="1"/>
                  <a:t>(</a:t>
                </a:r>
                <a:r>
                  <a:rPr lang="en-US" sz="1100" b="1"/>
                  <a:t>U)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累计盈亏走势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交易记录!$M$3</c:f>
              <c:strCache>
                <c:ptCount val="1"/>
                <c:pt idx="0">
                  <c:v>累计盈亏(U)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Pt>
            <c:idx val="0"/>
            <c:bubble3D val="0"/>
            <c:spPr>
              <a:ln w="28575" cap="rnd">
                <a:solidFill>
                  <a:schemeClr val="accen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4C42-49BF-A0FB-1291FEF19A16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  <a:prstDash val="solid"/>
                </a:ln>
              </c:spPr>
            </c:marker>
            <c:bubble3D val="0"/>
            <c:spPr>
              <a:ln w="28575" cap="rnd">
                <a:solidFill>
                  <a:schemeClr val="accent2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4C42-49BF-A0FB-1291FEF19A16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  <a:prstDash val="solid"/>
                </a:ln>
              </c:spPr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4C42-49BF-A0FB-1291FEF19A16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  <a:prstDash val="solid"/>
                </a:ln>
              </c:spPr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4C42-49BF-A0FB-1291FEF19A1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交易记录!$A$4:$A$7</c:f>
              <c:strCache>
                <c:ptCount val="4"/>
                <c:pt idx="0">
                  <c:v>2026-06-19</c:v>
                </c:pt>
                <c:pt idx="1">
                  <c:v>2026-06-20</c:v>
                </c:pt>
                <c:pt idx="2">
                  <c:v>2026-06-15</c:v>
                </c:pt>
                <c:pt idx="3">
                  <c:v>2026-06-22</c:v>
                </c:pt>
              </c:strCache>
            </c:strRef>
          </c:cat>
          <c:val>
            <c:numRef>
              <c:f>交易记录!$M$4:$M$7</c:f>
              <c:numCache>
                <c:formatCode>General</c:formatCode>
                <c:ptCount val="4"/>
                <c:pt idx="0">
                  <c:v>7.9113924050632907</c:v>
                </c:pt>
                <c:pt idx="1">
                  <c:v>-88.837833601128665</c:v>
                </c:pt>
                <c:pt idx="2">
                  <c:v>-129.60216481131977</c:v>
                </c:pt>
                <c:pt idx="3">
                  <c:v>-112.58571557705999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42-49BF-A0FB-1291FEF19A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交易编号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累计盈亏</a:t>
                </a:r>
                <a:r>
                  <a:rPr lang="en-US" altLang="zh-CN"/>
                  <a:t>(</a:t>
                </a:r>
                <a:r>
                  <a:rPr lang="en-US"/>
                  <a:t>U)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0</xdr:row>
      <xdr:rowOff>215900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609600</xdr:colOff>
      <xdr:row>0</xdr:row>
      <xdr:rowOff>228600</xdr:rowOff>
    </xdr:from>
    <xdr:ext cx="5759450" cy="359981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114935</xdr:colOff>
      <xdr:row>17</xdr:row>
      <xdr:rowOff>32385</xdr:rowOff>
    </xdr:from>
    <xdr:ext cx="11770360" cy="419290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"/>
  <sheetViews>
    <sheetView tabSelected="1" workbookViewId="0">
      <pane ySplit="3" topLeftCell="A4" activePane="bottomLeft" state="frozen"/>
      <selection pane="bottomLeft" activeCell="Q5" sqref="Q5"/>
    </sheetView>
  </sheetViews>
  <sheetFormatPr defaultColWidth="9" defaultRowHeight="14" x14ac:dyDescent="0.25"/>
  <cols>
    <col min="1" max="1" width="14" customWidth="1"/>
    <col min="2" max="2" width="12" customWidth="1"/>
    <col min="3" max="3" width="8" customWidth="1"/>
    <col min="4" max="4" width="10" customWidth="1"/>
    <col min="5" max="6" width="12" customWidth="1"/>
    <col min="7" max="7" width="10" customWidth="1"/>
    <col min="8" max="10" width="12" customWidth="1"/>
    <col min="11" max="11" width="8" customWidth="1"/>
    <col min="12" max="12" width="30" customWidth="1"/>
    <col min="13" max="13" width="14" customWidth="1"/>
  </cols>
  <sheetData>
    <row r="1" spans="1:13" ht="35" customHeight="1" x14ac:dyDescent="0.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ht="22" customHeight="1" x14ac:dyDescent="0.3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3" ht="28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29" customHeight="1" x14ac:dyDescent="0.25">
      <c r="A4" s="9" t="s">
        <v>15</v>
      </c>
      <c r="B4" s="9" t="s">
        <v>16</v>
      </c>
      <c r="C4" s="9" t="s">
        <v>17</v>
      </c>
      <c r="D4" s="9" t="s">
        <v>18</v>
      </c>
      <c r="E4" s="9">
        <v>63200</v>
      </c>
      <c r="F4" s="9">
        <v>63000</v>
      </c>
      <c r="G4" s="9">
        <v>2500</v>
      </c>
      <c r="H4" s="9"/>
      <c r="I4" s="9"/>
      <c r="J4" s="9">
        <f t="shared" ref="J4:J35" si="0">IF(C4="做多",(F4-E4)/E4*G4,(E4-F4)/E4*G4)</f>
        <v>7.9113924050632907</v>
      </c>
      <c r="K4" s="9" t="str">
        <f t="shared" ref="K4:K35" si="1">IF(J4&gt;0,"Win","Loss")</f>
        <v>Win</v>
      </c>
      <c r="L4" s="10" t="s">
        <v>19</v>
      </c>
      <c r="M4" s="11">
        <f>J4</f>
        <v>7.9113924050632907</v>
      </c>
    </row>
    <row r="5" spans="1:13" ht="29" customHeight="1" x14ac:dyDescent="0.25">
      <c r="A5" s="6" t="s">
        <v>20</v>
      </c>
      <c r="B5" s="6" t="s">
        <v>16</v>
      </c>
      <c r="C5" s="6" t="s">
        <v>21</v>
      </c>
      <c r="D5" s="6" t="s">
        <v>22</v>
      </c>
      <c r="E5" s="6">
        <v>64600</v>
      </c>
      <c r="F5" s="6">
        <v>62100</v>
      </c>
      <c r="G5" s="6">
        <v>2500</v>
      </c>
      <c r="H5" s="6"/>
      <c r="I5" s="6"/>
      <c r="J5" s="6">
        <f t="shared" si="0"/>
        <v>-96.749226006191961</v>
      </c>
      <c r="K5" s="6" t="str">
        <f t="shared" si="1"/>
        <v>Loss</v>
      </c>
      <c r="L5" s="12" t="s">
        <v>23</v>
      </c>
      <c r="M5" s="11">
        <f t="shared" ref="M5:M36" si="2">M4+J5</f>
        <v>-88.837833601128665</v>
      </c>
    </row>
    <row r="6" spans="1:13" ht="14.5" customHeight="1" x14ac:dyDescent="0.25">
      <c r="A6" s="9" t="s">
        <v>24</v>
      </c>
      <c r="B6" s="9" t="s">
        <v>16</v>
      </c>
      <c r="C6" s="9" t="s">
        <v>17</v>
      </c>
      <c r="D6" s="9" t="s">
        <v>25</v>
      </c>
      <c r="E6" s="9">
        <v>62800</v>
      </c>
      <c r="F6" s="9">
        <v>66000</v>
      </c>
      <c r="G6" s="9">
        <v>800</v>
      </c>
      <c r="H6" s="9"/>
      <c r="I6" s="9"/>
      <c r="J6" s="9">
        <f t="shared" si="0"/>
        <v>-40.764331210191088</v>
      </c>
      <c r="K6" s="9" t="str">
        <f t="shared" si="1"/>
        <v>Loss</v>
      </c>
      <c r="L6" s="10" t="s">
        <v>26</v>
      </c>
      <c r="M6" s="11">
        <f t="shared" si="2"/>
        <v>-129.60216481131977</v>
      </c>
    </row>
    <row r="7" spans="1:13" ht="29" customHeight="1" x14ac:dyDescent="0.25">
      <c r="A7" s="6" t="s">
        <v>27</v>
      </c>
      <c r="B7" s="6" t="s">
        <v>28</v>
      </c>
      <c r="C7" s="6" t="s">
        <v>17</v>
      </c>
      <c r="D7" s="6" t="s">
        <v>29</v>
      </c>
      <c r="E7" s="6">
        <v>1763</v>
      </c>
      <c r="F7" s="6">
        <v>1753</v>
      </c>
      <c r="G7" s="6">
        <v>3000</v>
      </c>
      <c r="H7" s="6">
        <v>1720</v>
      </c>
      <c r="I7" s="6"/>
      <c r="J7" s="6">
        <f t="shared" si="0"/>
        <v>17.016449234259785</v>
      </c>
      <c r="K7" s="6" t="str">
        <f t="shared" si="1"/>
        <v>Win</v>
      </c>
      <c r="L7" s="12" t="s">
        <v>30</v>
      </c>
      <c r="M7" s="11">
        <f t="shared" si="2"/>
        <v>-112.58571557705999</v>
      </c>
    </row>
    <row r="8" spans="1:13" ht="14.5" customHeight="1" x14ac:dyDescent="0.25">
      <c r="A8" s="13">
        <v>46197</v>
      </c>
      <c r="B8" s="9" t="s">
        <v>16</v>
      </c>
      <c r="C8" s="9" t="s">
        <v>21</v>
      </c>
      <c r="D8" s="9" t="s">
        <v>18</v>
      </c>
      <c r="E8" s="9">
        <v>61208.4</v>
      </c>
      <c r="F8" s="9"/>
      <c r="G8" s="9">
        <v>2386.8000000000002</v>
      </c>
      <c r="H8" s="9">
        <v>62000</v>
      </c>
      <c r="I8" s="9">
        <v>60800</v>
      </c>
      <c r="J8" s="9">
        <f t="shared" si="0"/>
        <v>-2386.8000000000002</v>
      </c>
      <c r="K8" s="9" t="str">
        <f t="shared" si="1"/>
        <v>Loss</v>
      </c>
      <c r="L8" s="10" t="s">
        <v>31</v>
      </c>
      <c r="M8" s="11">
        <f t="shared" si="2"/>
        <v>-2499.3857155770602</v>
      </c>
    </row>
    <row r="9" spans="1:13" ht="14.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 t="e">
        <f t="shared" si="0"/>
        <v>#DIV/0!</v>
      </c>
      <c r="K9" s="6" t="e">
        <f t="shared" si="1"/>
        <v>#DIV/0!</v>
      </c>
      <c r="L9" s="12"/>
      <c r="M9" s="11" t="e">
        <f t="shared" si="2"/>
        <v>#DIV/0!</v>
      </c>
    </row>
    <row r="10" spans="1:13" ht="14.5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 t="e">
        <f t="shared" si="0"/>
        <v>#DIV/0!</v>
      </c>
      <c r="K10" s="9" t="e">
        <f t="shared" si="1"/>
        <v>#DIV/0!</v>
      </c>
      <c r="L10" s="10"/>
      <c r="M10" s="11" t="e">
        <f t="shared" si="2"/>
        <v>#DIV/0!</v>
      </c>
    </row>
    <row r="11" spans="1:13" ht="14.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 t="e">
        <f t="shared" si="0"/>
        <v>#DIV/0!</v>
      </c>
      <c r="K11" s="6" t="e">
        <f t="shared" si="1"/>
        <v>#DIV/0!</v>
      </c>
      <c r="L11" s="12"/>
      <c r="M11" s="11" t="e">
        <f t="shared" si="2"/>
        <v>#DIV/0!</v>
      </c>
    </row>
    <row r="12" spans="1:13" ht="14.5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 t="e">
        <f t="shared" si="0"/>
        <v>#DIV/0!</v>
      </c>
      <c r="K12" s="9" t="e">
        <f t="shared" si="1"/>
        <v>#DIV/0!</v>
      </c>
      <c r="L12" s="10"/>
      <c r="M12" s="11" t="e">
        <f t="shared" si="2"/>
        <v>#DIV/0!</v>
      </c>
    </row>
    <row r="13" spans="1:13" ht="14.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 t="e">
        <f t="shared" si="0"/>
        <v>#DIV/0!</v>
      </c>
      <c r="K13" s="6" t="e">
        <f t="shared" si="1"/>
        <v>#DIV/0!</v>
      </c>
      <c r="L13" s="12"/>
      <c r="M13" s="11" t="e">
        <f t="shared" si="2"/>
        <v>#DIV/0!</v>
      </c>
    </row>
    <row r="14" spans="1:13" ht="14.5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 t="e">
        <f t="shared" si="0"/>
        <v>#DIV/0!</v>
      </c>
      <c r="K14" s="9" t="e">
        <f t="shared" si="1"/>
        <v>#DIV/0!</v>
      </c>
      <c r="L14" s="10"/>
      <c r="M14" s="11" t="e">
        <f t="shared" si="2"/>
        <v>#DIV/0!</v>
      </c>
    </row>
    <row r="15" spans="1:13" ht="14.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 t="e">
        <f t="shared" si="0"/>
        <v>#DIV/0!</v>
      </c>
      <c r="K15" s="6" t="e">
        <f t="shared" si="1"/>
        <v>#DIV/0!</v>
      </c>
      <c r="L15" s="12"/>
      <c r="M15" s="11" t="e">
        <f t="shared" si="2"/>
        <v>#DIV/0!</v>
      </c>
    </row>
    <row r="16" spans="1:13" ht="14.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 t="e">
        <f t="shared" si="0"/>
        <v>#DIV/0!</v>
      </c>
      <c r="K16" s="9" t="e">
        <f t="shared" si="1"/>
        <v>#DIV/0!</v>
      </c>
      <c r="L16" s="10"/>
      <c r="M16" s="11" t="e">
        <f t="shared" si="2"/>
        <v>#DIV/0!</v>
      </c>
    </row>
    <row r="17" spans="1:13" ht="14.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 t="e">
        <f t="shared" si="0"/>
        <v>#DIV/0!</v>
      </c>
      <c r="K17" s="6" t="e">
        <f t="shared" si="1"/>
        <v>#DIV/0!</v>
      </c>
      <c r="L17" s="12"/>
      <c r="M17" s="11" t="e">
        <f t="shared" si="2"/>
        <v>#DIV/0!</v>
      </c>
    </row>
    <row r="18" spans="1:13" ht="14.5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 t="e">
        <f t="shared" si="0"/>
        <v>#DIV/0!</v>
      </c>
      <c r="K18" s="9" t="e">
        <f t="shared" si="1"/>
        <v>#DIV/0!</v>
      </c>
      <c r="L18" s="10"/>
      <c r="M18" s="11" t="e">
        <f t="shared" si="2"/>
        <v>#DIV/0!</v>
      </c>
    </row>
    <row r="19" spans="1:13" ht="14.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 t="e">
        <f t="shared" si="0"/>
        <v>#DIV/0!</v>
      </c>
      <c r="K19" s="6" t="e">
        <f t="shared" si="1"/>
        <v>#DIV/0!</v>
      </c>
      <c r="L19" s="12"/>
      <c r="M19" s="11" t="e">
        <f t="shared" si="2"/>
        <v>#DIV/0!</v>
      </c>
    </row>
    <row r="20" spans="1:13" ht="14.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 t="e">
        <f t="shared" si="0"/>
        <v>#DIV/0!</v>
      </c>
      <c r="K20" s="9" t="e">
        <f t="shared" si="1"/>
        <v>#DIV/0!</v>
      </c>
      <c r="L20" s="10"/>
      <c r="M20" s="11" t="e">
        <f t="shared" si="2"/>
        <v>#DIV/0!</v>
      </c>
    </row>
    <row r="21" spans="1:13" ht="14.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 t="e">
        <f t="shared" si="0"/>
        <v>#DIV/0!</v>
      </c>
      <c r="K21" s="6" t="e">
        <f t="shared" si="1"/>
        <v>#DIV/0!</v>
      </c>
      <c r="L21" s="12"/>
      <c r="M21" s="11" t="e">
        <f t="shared" si="2"/>
        <v>#DIV/0!</v>
      </c>
    </row>
    <row r="22" spans="1:13" ht="14.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 t="e">
        <f t="shared" si="0"/>
        <v>#DIV/0!</v>
      </c>
      <c r="K22" s="9" t="e">
        <f t="shared" si="1"/>
        <v>#DIV/0!</v>
      </c>
      <c r="L22" s="10"/>
      <c r="M22" s="11" t="e">
        <f t="shared" si="2"/>
        <v>#DIV/0!</v>
      </c>
    </row>
    <row r="23" spans="1:13" ht="14.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 t="e">
        <f t="shared" si="0"/>
        <v>#DIV/0!</v>
      </c>
      <c r="K23" s="6" t="e">
        <f t="shared" si="1"/>
        <v>#DIV/0!</v>
      </c>
      <c r="L23" s="12"/>
      <c r="M23" s="11" t="e">
        <f t="shared" si="2"/>
        <v>#DIV/0!</v>
      </c>
    </row>
    <row r="24" spans="1:13" ht="14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 t="e">
        <f t="shared" si="0"/>
        <v>#DIV/0!</v>
      </c>
      <c r="K24" s="9" t="e">
        <f t="shared" si="1"/>
        <v>#DIV/0!</v>
      </c>
      <c r="L24" s="10"/>
      <c r="M24" s="11" t="e">
        <f t="shared" si="2"/>
        <v>#DIV/0!</v>
      </c>
    </row>
    <row r="25" spans="1:13" ht="14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 t="e">
        <f t="shared" si="0"/>
        <v>#DIV/0!</v>
      </c>
      <c r="K25" s="6" t="e">
        <f t="shared" si="1"/>
        <v>#DIV/0!</v>
      </c>
      <c r="L25" s="12"/>
      <c r="M25" s="11" t="e">
        <f t="shared" si="2"/>
        <v>#DIV/0!</v>
      </c>
    </row>
    <row r="26" spans="1:13" ht="14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 t="e">
        <f t="shared" si="0"/>
        <v>#DIV/0!</v>
      </c>
      <c r="K26" s="9" t="e">
        <f t="shared" si="1"/>
        <v>#DIV/0!</v>
      </c>
      <c r="L26" s="10"/>
      <c r="M26" s="11" t="e">
        <f t="shared" si="2"/>
        <v>#DIV/0!</v>
      </c>
    </row>
    <row r="27" spans="1:13" ht="14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 t="e">
        <f t="shared" si="0"/>
        <v>#DIV/0!</v>
      </c>
      <c r="K27" s="6" t="e">
        <f t="shared" si="1"/>
        <v>#DIV/0!</v>
      </c>
      <c r="L27" s="12"/>
      <c r="M27" s="11" t="e">
        <f t="shared" si="2"/>
        <v>#DIV/0!</v>
      </c>
    </row>
    <row r="28" spans="1:13" ht="14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 t="e">
        <f t="shared" si="0"/>
        <v>#DIV/0!</v>
      </c>
      <c r="K28" s="9" t="e">
        <f t="shared" si="1"/>
        <v>#DIV/0!</v>
      </c>
      <c r="L28" s="10"/>
      <c r="M28" s="11" t="e">
        <f t="shared" si="2"/>
        <v>#DIV/0!</v>
      </c>
    </row>
    <row r="29" spans="1:13" ht="14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 t="e">
        <f t="shared" si="0"/>
        <v>#DIV/0!</v>
      </c>
      <c r="K29" s="6" t="e">
        <f t="shared" si="1"/>
        <v>#DIV/0!</v>
      </c>
      <c r="L29" s="12"/>
      <c r="M29" s="11" t="e">
        <f t="shared" si="2"/>
        <v>#DIV/0!</v>
      </c>
    </row>
    <row r="30" spans="1:13" ht="14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 t="e">
        <f t="shared" si="0"/>
        <v>#DIV/0!</v>
      </c>
      <c r="K30" s="9" t="e">
        <f t="shared" si="1"/>
        <v>#DIV/0!</v>
      </c>
      <c r="L30" s="10"/>
      <c r="M30" s="11" t="e">
        <f t="shared" si="2"/>
        <v>#DIV/0!</v>
      </c>
    </row>
    <row r="31" spans="1:13" ht="14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 t="e">
        <f t="shared" si="0"/>
        <v>#DIV/0!</v>
      </c>
      <c r="K31" s="6" t="e">
        <f t="shared" si="1"/>
        <v>#DIV/0!</v>
      </c>
      <c r="L31" s="12"/>
      <c r="M31" s="11" t="e">
        <f t="shared" si="2"/>
        <v>#DIV/0!</v>
      </c>
    </row>
    <row r="32" spans="1:13" ht="14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 t="e">
        <f t="shared" si="0"/>
        <v>#DIV/0!</v>
      </c>
      <c r="K32" s="9" t="e">
        <f t="shared" si="1"/>
        <v>#DIV/0!</v>
      </c>
      <c r="L32" s="10"/>
      <c r="M32" s="11" t="e">
        <f t="shared" si="2"/>
        <v>#DIV/0!</v>
      </c>
    </row>
    <row r="33" spans="1:13" ht="14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 t="e">
        <f t="shared" si="0"/>
        <v>#DIV/0!</v>
      </c>
      <c r="K33" s="6" t="e">
        <f t="shared" si="1"/>
        <v>#DIV/0!</v>
      </c>
      <c r="L33" s="12"/>
      <c r="M33" s="11" t="e">
        <f t="shared" si="2"/>
        <v>#DIV/0!</v>
      </c>
    </row>
    <row r="34" spans="1:13" ht="14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 t="e">
        <f t="shared" si="0"/>
        <v>#DIV/0!</v>
      </c>
      <c r="K34" s="9" t="e">
        <f t="shared" si="1"/>
        <v>#DIV/0!</v>
      </c>
      <c r="L34" s="10"/>
      <c r="M34" s="11" t="e">
        <f t="shared" si="2"/>
        <v>#DIV/0!</v>
      </c>
    </row>
    <row r="35" spans="1:13" ht="14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 t="e">
        <f t="shared" si="0"/>
        <v>#DIV/0!</v>
      </c>
      <c r="K35" s="6" t="e">
        <f t="shared" si="1"/>
        <v>#DIV/0!</v>
      </c>
      <c r="L35" s="12"/>
      <c r="M35" s="11" t="e">
        <f t="shared" si="2"/>
        <v>#DIV/0!</v>
      </c>
    </row>
    <row r="36" spans="1:13" ht="14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 t="e">
        <f t="shared" ref="J36:J67" si="3">IF(C36="做多",(F36-E36)/E36*G36,(E36-F36)/E36*G36)</f>
        <v>#DIV/0!</v>
      </c>
      <c r="K36" s="9" t="e">
        <f t="shared" ref="K36:K67" si="4">IF(J36&gt;0,"Win","Loss")</f>
        <v>#DIV/0!</v>
      </c>
      <c r="L36" s="10"/>
      <c r="M36" s="11" t="e">
        <f t="shared" si="2"/>
        <v>#DIV/0!</v>
      </c>
    </row>
    <row r="37" spans="1:13" ht="14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 t="e">
        <f t="shared" si="3"/>
        <v>#DIV/0!</v>
      </c>
      <c r="K37" s="6" t="e">
        <f t="shared" si="4"/>
        <v>#DIV/0!</v>
      </c>
      <c r="L37" s="12"/>
      <c r="M37" s="11" t="e">
        <f t="shared" ref="M37:M68" si="5">M36+J37</f>
        <v>#DIV/0!</v>
      </c>
    </row>
    <row r="38" spans="1:13" ht="14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 t="e">
        <f t="shared" si="3"/>
        <v>#DIV/0!</v>
      </c>
      <c r="K38" s="9" t="e">
        <f t="shared" si="4"/>
        <v>#DIV/0!</v>
      </c>
      <c r="L38" s="10"/>
      <c r="M38" s="11" t="e">
        <f t="shared" si="5"/>
        <v>#DIV/0!</v>
      </c>
    </row>
    <row r="39" spans="1:13" ht="14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 t="e">
        <f t="shared" si="3"/>
        <v>#DIV/0!</v>
      </c>
      <c r="K39" s="6" t="e">
        <f t="shared" si="4"/>
        <v>#DIV/0!</v>
      </c>
      <c r="L39" s="12"/>
      <c r="M39" s="11" t="e">
        <f t="shared" si="5"/>
        <v>#DIV/0!</v>
      </c>
    </row>
    <row r="40" spans="1:13" ht="14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 t="e">
        <f t="shared" si="3"/>
        <v>#DIV/0!</v>
      </c>
      <c r="K40" s="9" t="e">
        <f t="shared" si="4"/>
        <v>#DIV/0!</v>
      </c>
      <c r="L40" s="10"/>
      <c r="M40" s="11" t="e">
        <f t="shared" si="5"/>
        <v>#DIV/0!</v>
      </c>
    </row>
    <row r="41" spans="1:13" ht="14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 t="e">
        <f t="shared" si="3"/>
        <v>#DIV/0!</v>
      </c>
      <c r="K41" s="6" t="e">
        <f t="shared" si="4"/>
        <v>#DIV/0!</v>
      </c>
      <c r="L41" s="12"/>
      <c r="M41" s="11" t="e">
        <f t="shared" si="5"/>
        <v>#DIV/0!</v>
      </c>
    </row>
    <row r="42" spans="1:13" ht="14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 t="e">
        <f t="shared" si="3"/>
        <v>#DIV/0!</v>
      </c>
      <c r="K42" s="9" t="e">
        <f t="shared" si="4"/>
        <v>#DIV/0!</v>
      </c>
      <c r="L42" s="10"/>
      <c r="M42" s="11" t="e">
        <f t="shared" si="5"/>
        <v>#DIV/0!</v>
      </c>
    </row>
    <row r="43" spans="1:13" ht="14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 t="e">
        <f t="shared" si="3"/>
        <v>#DIV/0!</v>
      </c>
      <c r="K43" s="6" t="e">
        <f t="shared" si="4"/>
        <v>#DIV/0!</v>
      </c>
      <c r="L43" s="12"/>
      <c r="M43" s="11" t="e">
        <f t="shared" si="5"/>
        <v>#DIV/0!</v>
      </c>
    </row>
    <row r="44" spans="1:13" ht="14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 t="e">
        <f t="shared" si="3"/>
        <v>#DIV/0!</v>
      </c>
      <c r="K44" s="9" t="e">
        <f t="shared" si="4"/>
        <v>#DIV/0!</v>
      </c>
      <c r="L44" s="10"/>
      <c r="M44" s="11" t="e">
        <f t="shared" si="5"/>
        <v>#DIV/0!</v>
      </c>
    </row>
    <row r="45" spans="1:13" ht="14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 t="e">
        <f t="shared" si="3"/>
        <v>#DIV/0!</v>
      </c>
      <c r="K45" s="6" t="e">
        <f t="shared" si="4"/>
        <v>#DIV/0!</v>
      </c>
      <c r="L45" s="12"/>
      <c r="M45" s="11" t="e">
        <f t="shared" si="5"/>
        <v>#DIV/0!</v>
      </c>
    </row>
    <row r="46" spans="1:13" ht="14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 t="e">
        <f t="shared" si="3"/>
        <v>#DIV/0!</v>
      </c>
      <c r="K46" s="9" t="e">
        <f t="shared" si="4"/>
        <v>#DIV/0!</v>
      </c>
      <c r="L46" s="10"/>
      <c r="M46" s="11" t="e">
        <f t="shared" si="5"/>
        <v>#DIV/0!</v>
      </c>
    </row>
    <row r="47" spans="1:13" ht="14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 t="e">
        <f t="shared" si="3"/>
        <v>#DIV/0!</v>
      </c>
      <c r="K47" s="6" t="e">
        <f t="shared" si="4"/>
        <v>#DIV/0!</v>
      </c>
      <c r="L47" s="12"/>
      <c r="M47" s="11" t="e">
        <f t="shared" si="5"/>
        <v>#DIV/0!</v>
      </c>
    </row>
    <row r="48" spans="1:13" ht="14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 t="e">
        <f t="shared" si="3"/>
        <v>#DIV/0!</v>
      </c>
      <c r="K48" s="9" t="e">
        <f t="shared" si="4"/>
        <v>#DIV/0!</v>
      </c>
      <c r="L48" s="10"/>
      <c r="M48" s="11" t="e">
        <f t="shared" si="5"/>
        <v>#DIV/0!</v>
      </c>
    </row>
    <row r="49" spans="1:13" ht="14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 t="e">
        <f t="shared" si="3"/>
        <v>#DIV/0!</v>
      </c>
      <c r="K49" s="6" t="e">
        <f t="shared" si="4"/>
        <v>#DIV/0!</v>
      </c>
      <c r="L49" s="12"/>
      <c r="M49" s="11" t="e">
        <f t="shared" si="5"/>
        <v>#DIV/0!</v>
      </c>
    </row>
    <row r="50" spans="1:13" ht="14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 t="e">
        <f t="shared" si="3"/>
        <v>#DIV/0!</v>
      </c>
      <c r="K50" s="9" t="e">
        <f t="shared" si="4"/>
        <v>#DIV/0!</v>
      </c>
      <c r="L50" s="10"/>
      <c r="M50" s="11" t="e">
        <f t="shared" si="5"/>
        <v>#DIV/0!</v>
      </c>
    </row>
    <row r="51" spans="1:13" ht="14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 t="e">
        <f t="shared" si="3"/>
        <v>#DIV/0!</v>
      </c>
      <c r="K51" s="6" t="e">
        <f t="shared" si="4"/>
        <v>#DIV/0!</v>
      </c>
      <c r="L51" s="12"/>
      <c r="M51" s="11" t="e">
        <f t="shared" si="5"/>
        <v>#DIV/0!</v>
      </c>
    </row>
    <row r="52" spans="1:13" ht="14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 t="e">
        <f t="shared" si="3"/>
        <v>#DIV/0!</v>
      </c>
      <c r="K52" s="9" t="e">
        <f t="shared" si="4"/>
        <v>#DIV/0!</v>
      </c>
      <c r="L52" s="10"/>
      <c r="M52" s="11" t="e">
        <f t="shared" si="5"/>
        <v>#DIV/0!</v>
      </c>
    </row>
    <row r="53" spans="1:13" ht="14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 t="e">
        <f t="shared" si="3"/>
        <v>#DIV/0!</v>
      </c>
      <c r="K53" s="6" t="e">
        <f t="shared" si="4"/>
        <v>#DIV/0!</v>
      </c>
      <c r="L53" s="12"/>
      <c r="M53" s="11" t="e">
        <f t="shared" si="5"/>
        <v>#DIV/0!</v>
      </c>
    </row>
    <row r="54" spans="1:13" ht="14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 t="e">
        <f t="shared" si="3"/>
        <v>#DIV/0!</v>
      </c>
      <c r="K54" s="9" t="e">
        <f t="shared" si="4"/>
        <v>#DIV/0!</v>
      </c>
      <c r="L54" s="10"/>
      <c r="M54" s="11" t="e">
        <f t="shared" si="5"/>
        <v>#DIV/0!</v>
      </c>
    </row>
    <row r="55" spans="1:13" ht="14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 t="e">
        <f t="shared" si="3"/>
        <v>#DIV/0!</v>
      </c>
      <c r="K55" s="6" t="e">
        <f t="shared" si="4"/>
        <v>#DIV/0!</v>
      </c>
      <c r="L55" s="12"/>
      <c r="M55" s="11" t="e">
        <f t="shared" si="5"/>
        <v>#DIV/0!</v>
      </c>
    </row>
    <row r="56" spans="1:13" ht="14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 t="e">
        <f t="shared" si="3"/>
        <v>#DIV/0!</v>
      </c>
      <c r="K56" s="9" t="e">
        <f t="shared" si="4"/>
        <v>#DIV/0!</v>
      </c>
      <c r="L56" s="10"/>
      <c r="M56" s="11" t="e">
        <f t="shared" si="5"/>
        <v>#DIV/0!</v>
      </c>
    </row>
    <row r="57" spans="1:13" ht="14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 t="e">
        <f t="shared" si="3"/>
        <v>#DIV/0!</v>
      </c>
      <c r="K57" s="6" t="e">
        <f t="shared" si="4"/>
        <v>#DIV/0!</v>
      </c>
      <c r="L57" s="12"/>
      <c r="M57" s="11" t="e">
        <f t="shared" si="5"/>
        <v>#DIV/0!</v>
      </c>
    </row>
    <row r="58" spans="1:13" ht="14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 t="e">
        <f t="shared" si="3"/>
        <v>#DIV/0!</v>
      </c>
      <c r="K58" s="9" t="e">
        <f t="shared" si="4"/>
        <v>#DIV/0!</v>
      </c>
      <c r="L58" s="10"/>
      <c r="M58" s="11" t="e">
        <f t="shared" si="5"/>
        <v>#DIV/0!</v>
      </c>
    </row>
    <row r="59" spans="1:13" ht="14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 t="e">
        <f t="shared" si="3"/>
        <v>#DIV/0!</v>
      </c>
      <c r="K59" s="6" t="e">
        <f t="shared" si="4"/>
        <v>#DIV/0!</v>
      </c>
      <c r="L59" s="12"/>
      <c r="M59" s="11" t="e">
        <f t="shared" si="5"/>
        <v>#DIV/0!</v>
      </c>
    </row>
    <row r="60" spans="1:13" ht="14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 t="e">
        <f t="shared" si="3"/>
        <v>#DIV/0!</v>
      </c>
      <c r="K60" s="9" t="e">
        <f t="shared" si="4"/>
        <v>#DIV/0!</v>
      </c>
      <c r="L60" s="10"/>
      <c r="M60" s="11" t="e">
        <f t="shared" si="5"/>
        <v>#DIV/0!</v>
      </c>
    </row>
    <row r="61" spans="1:13" ht="14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 t="e">
        <f t="shared" si="3"/>
        <v>#DIV/0!</v>
      </c>
      <c r="K61" s="6" t="e">
        <f t="shared" si="4"/>
        <v>#DIV/0!</v>
      </c>
      <c r="L61" s="12"/>
      <c r="M61" s="11" t="e">
        <f t="shared" si="5"/>
        <v>#DIV/0!</v>
      </c>
    </row>
    <row r="62" spans="1:13" ht="14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 t="e">
        <f t="shared" si="3"/>
        <v>#DIV/0!</v>
      </c>
      <c r="K62" s="9" t="e">
        <f t="shared" si="4"/>
        <v>#DIV/0!</v>
      </c>
      <c r="L62" s="10"/>
      <c r="M62" s="11" t="e">
        <f t="shared" si="5"/>
        <v>#DIV/0!</v>
      </c>
    </row>
    <row r="63" spans="1:13" ht="14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 t="e">
        <f t="shared" si="3"/>
        <v>#DIV/0!</v>
      </c>
      <c r="K63" s="6" t="e">
        <f t="shared" si="4"/>
        <v>#DIV/0!</v>
      </c>
      <c r="L63" s="12"/>
      <c r="M63" s="11" t="e">
        <f t="shared" si="5"/>
        <v>#DIV/0!</v>
      </c>
    </row>
    <row r="64" spans="1:13" ht="14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 t="e">
        <f t="shared" si="3"/>
        <v>#DIV/0!</v>
      </c>
      <c r="K64" s="9" t="e">
        <f t="shared" si="4"/>
        <v>#DIV/0!</v>
      </c>
      <c r="L64" s="10"/>
      <c r="M64" s="11" t="e">
        <f t="shared" si="5"/>
        <v>#DIV/0!</v>
      </c>
    </row>
    <row r="65" spans="1:13" ht="14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 t="e">
        <f t="shared" si="3"/>
        <v>#DIV/0!</v>
      </c>
      <c r="K65" s="6" t="e">
        <f t="shared" si="4"/>
        <v>#DIV/0!</v>
      </c>
      <c r="L65" s="12"/>
      <c r="M65" s="11" t="e">
        <f t="shared" si="5"/>
        <v>#DIV/0!</v>
      </c>
    </row>
    <row r="66" spans="1:13" ht="14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 t="e">
        <f t="shared" si="3"/>
        <v>#DIV/0!</v>
      </c>
      <c r="K66" s="9" t="e">
        <f t="shared" si="4"/>
        <v>#DIV/0!</v>
      </c>
      <c r="L66" s="10"/>
      <c r="M66" s="11" t="e">
        <f t="shared" si="5"/>
        <v>#DIV/0!</v>
      </c>
    </row>
    <row r="67" spans="1:13" ht="14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 t="e">
        <f t="shared" si="3"/>
        <v>#DIV/0!</v>
      </c>
      <c r="K67" s="6" t="e">
        <f t="shared" si="4"/>
        <v>#DIV/0!</v>
      </c>
      <c r="L67" s="12"/>
      <c r="M67" s="11" t="e">
        <f t="shared" si="5"/>
        <v>#DIV/0!</v>
      </c>
    </row>
    <row r="68" spans="1:13" ht="14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 t="e">
        <f t="shared" ref="J68:J99" si="6">IF(C68="做多",(F68-E68)/E68*G68,(E68-F68)/E68*G68)</f>
        <v>#DIV/0!</v>
      </c>
      <c r="K68" s="9" t="e">
        <f t="shared" ref="K68:K99" si="7">IF(J68&gt;0,"Win","Loss")</f>
        <v>#DIV/0!</v>
      </c>
      <c r="L68" s="10"/>
      <c r="M68" s="11" t="e">
        <f t="shared" si="5"/>
        <v>#DIV/0!</v>
      </c>
    </row>
    <row r="69" spans="1:13" ht="14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 t="e">
        <f t="shared" si="6"/>
        <v>#DIV/0!</v>
      </c>
      <c r="K69" s="6" t="e">
        <f t="shared" si="7"/>
        <v>#DIV/0!</v>
      </c>
      <c r="L69" s="12"/>
      <c r="M69" s="11" t="e">
        <f t="shared" ref="M69:M100" si="8">M68+J69</f>
        <v>#DIV/0!</v>
      </c>
    </row>
    <row r="70" spans="1:13" ht="14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 t="e">
        <f t="shared" si="6"/>
        <v>#DIV/0!</v>
      </c>
      <c r="K70" s="9" t="e">
        <f t="shared" si="7"/>
        <v>#DIV/0!</v>
      </c>
      <c r="L70" s="10"/>
      <c r="M70" s="11" t="e">
        <f t="shared" si="8"/>
        <v>#DIV/0!</v>
      </c>
    </row>
    <row r="71" spans="1:13" ht="14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 t="e">
        <f t="shared" si="6"/>
        <v>#DIV/0!</v>
      </c>
      <c r="K71" s="6" t="e">
        <f t="shared" si="7"/>
        <v>#DIV/0!</v>
      </c>
      <c r="L71" s="12"/>
      <c r="M71" s="11" t="e">
        <f t="shared" si="8"/>
        <v>#DIV/0!</v>
      </c>
    </row>
    <row r="72" spans="1:13" ht="14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 t="e">
        <f t="shared" si="6"/>
        <v>#DIV/0!</v>
      </c>
      <c r="K72" s="9" t="e">
        <f t="shared" si="7"/>
        <v>#DIV/0!</v>
      </c>
      <c r="L72" s="10"/>
      <c r="M72" s="11" t="e">
        <f t="shared" si="8"/>
        <v>#DIV/0!</v>
      </c>
    </row>
    <row r="73" spans="1:13" ht="14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 t="e">
        <f t="shared" si="6"/>
        <v>#DIV/0!</v>
      </c>
      <c r="K73" s="6" t="e">
        <f t="shared" si="7"/>
        <v>#DIV/0!</v>
      </c>
      <c r="L73" s="12"/>
      <c r="M73" s="11" t="e">
        <f t="shared" si="8"/>
        <v>#DIV/0!</v>
      </c>
    </row>
    <row r="74" spans="1:13" ht="14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 t="e">
        <f t="shared" si="6"/>
        <v>#DIV/0!</v>
      </c>
      <c r="K74" s="9" t="e">
        <f t="shared" si="7"/>
        <v>#DIV/0!</v>
      </c>
      <c r="L74" s="10"/>
      <c r="M74" s="11" t="e">
        <f t="shared" si="8"/>
        <v>#DIV/0!</v>
      </c>
    </row>
    <row r="75" spans="1:13" ht="14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 t="e">
        <f t="shared" si="6"/>
        <v>#DIV/0!</v>
      </c>
      <c r="K75" s="6" t="e">
        <f t="shared" si="7"/>
        <v>#DIV/0!</v>
      </c>
      <c r="L75" s="12"/>
      <c r="M75" s="11" t="e">
        <f t="shared" si="8"/>
        <v>#DIV/0!</v>
      </c>
    </row>
    <row r="76" spans="1:13" ht="14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 t="e">
        <f t="shared" si="6"/>
        <v>#DIV/0!</v>
      </c>
      <c r="K76" s="9" t="e">
        <f t="shared" si="7"/>
        <v>#DIV/0!</v>
      </c>
      <c r="L76" s="10"/>
      <c r="M76" s="11" t="e">
        <f t="shared" si="8"/>
        <v>#DIV/0!</v>
      </c>
    </row>
    <row r="77" spans="1:13" ht="14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 t="e">
        <f t="shared" si="6"/>
        <v>#DIV/0!</v>
      </c>
      <c r="K77" s="6" t="e">
        <f t="shared" si="7"/>
        <v>#DIV/0!</v>
      </c>
      <c r="L77" s="12"/>
      <c r="M77" s="11" t="e">
        <f t="shared" si="8"/>
        <v>#DIV/0!</v>
      </c>
    </row>
    <row r="78" spans="1:13" ht="14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 t="e">
        <f t="shared" si="6"/>
        <v>#DIV/0!</v>
      </c>
      <c r="K78" s="9" t="e">
        <f t="shared" si="7"/>
        <v>#DIV/0!</v>
      </c>
      <c r="L78" s="10"/>
      <c r="M78" s="11" t="e">
        <f t="shared" si="8"/>
        <v>#DIV/0!</v>
      </c>
    </row>
    <row r="79" spans="1:13" ht="14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 t="e">
        <f t="shared" si="6"/>
        <v>#DIV/0!</v>
      </c>
      <c r="K79" s="6" t="e">
        <f t="shared" si="7"/>
        <v>#DIV/0!</v>
      </c>
      <c r="L79" s="12"/>
      <c r="M79" s="11" t="e">
        <f t="shared" si="8"/>
        <v>#DIV/0!</v>
      </c>
    </row>
    <row r="80" spans="1:13" ht="14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 t="e">
        <f t="shared" si="6"/>
        <v>#DIV/0!</v>
      </c>
      <c r="K80" s="9" t="e">
        <f t="shared" si="7"/>
        <v>#DIV/0!</v>
      </c>
      <c r="L80" s="10"/>
      <c r="M80" s="11" t="e">
        <f t="shared" si="8"/>
        <v>#DIV/0!</v>
      </c>
    </row>
    <row r="81" spans="1:13" ht="14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 t="e">
        <f t="shared" si="6"/>
        <v>#DIV/0!</v>
      </c>
      <c r="K81" s="6" t="e">
        <f t="shared" si="7"/>
        <v>#DIV/0!</v>
      </c>
      <c r="L81" s="12"/>
      <c r="M81" s="11" t="e">
        <f t="shared" si="8"/>
        <v>#DIV/0!</v>
      </c>
    </row>
    <row r="82" spans="1:13" ht="14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 t="e">
        <f t="shared" si="6"/>
        <v>#DIV/0!</v>
      </c>
      <c r="K82" s="9" t="e">
        <f t="shared" si="7"/>
        <v>#DIV/0!</v>
      </c>
      <c r="L82" s="10"/>
      <c r="M82" s="11" t="e">
        <f t="shared" si="8"/>
        <v>#DIV/0!</v>
      </c>
    </row>
    <row r="83" spans="1:13" ht="14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 t="e">
        <f t="shared" si="6"/>
        <v>#DIV/0!</v>
      </c>
      <c r="K83" s="6" t="e">
        <f t="shared" si="7"/>
        <v>#DIV/0!</v>
      </c>
      <c r="L83" s="12"/>
      <c r="M83" s="11" t="e">
        <f t="shared" si="8"/>
        <v>#DIV/0!</v>
      </c>
    </row>
    <row r="84" spans="1:13" ht="14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 t="e">
        <f t="shared" si="6"/>
        <v>#DIV/0!</v>
      </c>
      <c r="K84" s="9" t="e">
        <f t="shared" si="7"/>
        <v>#DIV/0!</v>
      </c>
      <c r="L84" s="10"/>
      <c r="M84" s="11" t="e">
        <f t="shared" si="8"/>
        <v>#DIV/0!</v>
      </c>
    </row>
    <row r="85" spans="1:13" ht="14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 t="e">
        <f t="shared" si="6"/>
        <v>#DIV/0!</v>
      </c>
      <c r="K85" s="6" t="e">
        <f t="shared" si="7"/>
        <v>#DIV/0!</v>
      </c>
      <c r="L85" s="12"/>
      <c r="M85" s="11" t="e">
        <f t="shared" si="8"/>
        <v>#DIV/0!</v>
      </c>
    </row>
    <row r="86" spans="1:13" ht="14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 t="e">
        <f t="shared" si="6"/>
        <v>#DIV/0!</v>
      </c>
      <c r="K86" s="9" t="e">
        <f t="shared" si="7"/>
        <v>#DIV/0!</v>
      </c>
      <c r="L86" s="10"/>
      <c r="M86" s="11" t="e">
        <f t="shared" si="8"/>
        <v>#DIV/0!</v>
      </c>
    </row>
    <row r="87" spans="1:13" ht="14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 t="e">
        <f t="shared" si="6"/>
        <v>#DIV/0!</v>
      </c>
      <c r="K87" s="6" t="e">
        <f t="shared" si="7"/>
        <v>#DIV/0!</v>
      </c>
      <c r="L87" s="12"/>
      <c r="M87" s="11" t="e">
        <f t="shared" si="8"/>
        <v>#DIV/0!</v>
      </c>
    </row>
    <row r="88" spans="1:13" ht="14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 t="e">
        <f t="shared" si="6"/>
        <v>#DIV/0!</v>
      </c>
      <c r="K88" s="9" t="e">
        <f t="shared" si="7"/>
        <v>#DIV/0!</v>
      </c>
      <c r="L88" s="10"/>
      <c r="M88" s="11" t="e">
        <f t="shared" si="8"/>
        <v>#DIV/0!</v>
      </c>
    </row>
    <row r="89" spans="1:13" ht="14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 t="e">
        <f t="shared" si="6"/>
        <v>#DIV/0!</v>
      </c>
      <c r="K89" s="6" t="e">
        <f t="shared" si="7"/>
        <v>#DIV/0!</v>
      </c>
      <c r="L89" s="12"/>
      <c r="M89" s="11" t="e">
        <f t="shared" si="8"/>
        <v>#DIV/0!</v>
      </c>
    </row>
    <row r="90" spans="1:13" ht="14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 t="e">
        <f t="shared" si="6"/>
        <v>#DIV/0!</v>
      </c>
      <c r="K90" s="9" t="e">
        <f t="shared" si="7"/>
        <v>#DIV/0!</v>
      </c>
      <c r="L90" s="10"/>
      <c r="M90" s="11" t="e">
        <f t="shared" si="8"/>
        <v>#DIV/0!</v>
      </c>
    </row>
    <row r="91" spans="1:13" ht="14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 t="e">
        <f t="shared" si="6"/>
        <v>#DIV/0!</v>
      </c>
      <c r="K91" s="6" t="e">
        <f t="shared" si="7"/>
        <v>#DIV/0!</v>
      </c>
      <c r="L91" s="12"/>
      <c r="M91" s="11" t="e">
        <f t="shared" si="8"/>
        <v>#DIV/0!</v>
      </c>
    </row>
    <row r="92" spans="1:13" ht="14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 t="e">
        <f t="shared" si="6"/>
        <v>#DIV/0!</v>
      </c>
      <c r="K92" s="9" t="e">
        <f t="shared" si="7"/>
        <v>#DIV/0!</v>
      </c>
      <c r="L92" s="10"/>
      <c r="M92" s="11" t="e">
        <f t="shared" si="8"/>
        <v>#DIV/0!</v>
      </c>
    </row>
    <row r="93" spans="1:13" ht="14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 t="e">
        <f t="shared" si="6"/>
        <v>#DIV/0!</v>
      </c>
      <c r="K93" s="6" t="e">
        <f t="shared" si="7"/>
        <v>#DIV/0!</v>
      </c>
      <c r="L93" s="12"/>
      <c r="M93" s="11" t="e">
        <f t="shared" si="8"/>
        <v>#DIV/0!</v>
      </c>
    </row>
    <row r="94" spans="1:13" ht="14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 t="e">
        <f t="shared" si="6"/>
        <v>#DIV/0!</v>
      </c>
      <c r="K94" s="9" t="e">
        <f t="shared" si="7"/>
        <v>#DIV/0!</v>
      </c>
      <c r="L94" s="10"/>
      <c r="M94" s="11" t="e">
        <f t="shared" si="8"/>
        <v>#DIV/0!</v>
      </c>
    </row>
    <row r="95" spans="1:13" ht="14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 t="e">
        <f t="shared" si="6"/>
        <v>#DIV/0!</v>
      </c>
      <c r="K95" s="6" t="e">
        <f t="shared" si="7"/>
        <v>#DIV/0!</v>
      </c>
      <c r="L95" s="12"/>
      <c r="M95" s="11" t="e">
        <f t="shared" si="8"/>
        <v>#DIV/0!</v>
      </c>
    </row>
    <row r="96" spans="1:13" ht="14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 t="e">
        <f t="shared" si="6"/>
        <v>#DIV/0!</v>
      </c>
      <c r="K96" s="9" t="e">
        <f t="shared" si="7"/>
        <v>#DIV/0!</v>
      </c>
      <c r="L96" s="10"/>
      <c r="M96" s="11" t="e">
        <f t="shared" si="8"/>
        <v>#DIV/0!</v>
      </c>
    </row>
    <row r="97" spans="1:13" ht="14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 t="e">
        <f t="shared" si="6"/>
        <v>#DIV/0!</v>
      </c>
      <c r="K97" s="6" t="e">
        <f t="shared" si="7"/>
        <v>#DIV/0!</v>
      </c>
      <c r="L97" s="12"/>
      <c r="M97" s="11" t="e">
        <f t="shared" si="8"/>
        <v>#DIV/0!</v>
      </c>
    </row>
    <row r="98" spans="1:13" ht="14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 t="e">
        <f t="shared" si="6"/>
        <v>#DIV/0!</v>
      </c>
      <c r="K98" s="9" t="e">
        <f t="shared" si="7"/>
        <v>#DIV/0!</v>
      </c>
      <c r="L98" s="10"/>
      <c r="M98" s="11" t="e">
        <f t="shared" si="8"/>
        <v>#DIV/0!</v>
      </c>
    </row>
    <row r="99" spans="1:13" ht="14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 t="e">
        <f t="shared" si="6"/>
        <v>#DIV/0!</v>
      </c>
      <c r="K99" s="6" t="e">
        <f t="shared" si="7"/>
        <v>#DIV/0!</v>
      </c>
      <c r="L99" s="12"/>
      <c r="M99" s="11" t="e">
        <f t="shared" si="8"/>
        <v>#DIV/0!</v>
      </c>
    </row>
    <row r="100" spans="1:13" ht="14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 t="e">
        <f t="shared" ref="J100:J131" si="9">IF(C100="做多",(F100-E100)/E100*G100,(E100-F100)/E100*G100)</f>
        <v>#DIV/0!</v>
      </c>
      <c r="K100" s="9" t="e">
        <f t="shared" ref="K100:K131" si="10">IF(J100&gt;0,"Win","Loss")</f>
        <v>#DIV/0!</v>
      </c>
      <c r="L100" s="10"/>
      <c r="M100" s="11" t="e">
        <f t="shared" si="8"/>
        <v>#DIV/0!</v>
      </c>
    </row>
    <row r="101" spans="1:13" ht="14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 t="e">
        <f t="shared" si="9"/>
        <v>#DIV/0!</v>
      </c>
      <c r="K101" s="6" t="e">
        <f t="shared" si="10"/>
        <v>#DIV/0!</v>
      </c>
      <c r="L101" s="12"/>
      <c r="M101" s="11" t="e">
        <f t="shared" ref="M101:M132" si="11">M100+J101</f>
        <v>#DIV/0!</v>
      </c>
    </row>
    <row r="102" spans="1:13" ht="14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 t="e">
        <f t="shared" si="9"/>
        <v>#DIV/0!</v>
      </c>
      <c r="K102" s="9" t="e">
        <f t="shared" si="10"/>
        <v>#DIV/0!</v>
      </c>
      <c r="L102" s="10"/>
      <c r="M102" s="11" t="e">
        <f t="shared" si="11"/>
        <v>#DIV/0!</v>
      </c>
    </row>
    <row r="103" spans="1:13" ht="14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 t="e">
        <f t="shared" si="9"/>
        <v>#DIV/0!</v>
      </c>
      <c r="K103" s="6" t="e">
        <f t="shared" si="10"/>
        <v>#DIV/0!</v>
      </c>
      <c r="L103" s="12"/>
      <c r="M103" s="11" t="e">
        <f t="shared" si="11"/>
        <v>#DIV/0!</v>
      </c>
    </row>
    <row r="104" spans="1:13" ht="14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 t="e">
        <f t="shared" si="9"/>
        <v>#DIV/0!</v>
      </c>
      <c r="K104" s="9" t="e">
        <f t="shared" si="10"/>
        <v>#DIV/0!</v>
      </c>
      <c r="L104" s="10"/>
      <c r="M104" s="11" t="e">
        <f t="shared" si="11"/>
        <v>#DIV/0!</v>
      </c>
    </row>
    <row r="105" spans="1:13" ht="14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 t="e">
        <f t="shared" si="9"/>
        <v>#DIV/0!</v>
      </c>
      <c r="K105" s="6" t="e">
        <f t="shared" si="10"/>
        <v>#DIV/0!</v>
      </c>
      <c r="L105" s="12"/>
      <c r="M105" s="11" t="e">
        <f t="shared" si="11"/>
        <v>#DIV/0!</v>
      </c>
    </row>
    <row r="106" spans="1:13" ht="14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 t="e">
        <f t="shared" si="9"/>
        <v>#DIV/0!</v>
      </c>
      <c r="K106" s="9" t="e">
        <f t="shared" si="10"/>
        <v>#DIV/0!</v>
      </c>
      <c r="L106" s="10"/>
      <c r="M106" s="11" t="e">
        <f t="shared" si="11"/>
        <v>#DIV/0!</v>
      </c>
    </row>
    <row r="107" spans="1:13" ht="14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 t="e">
        <f t="shared" si="9"/>
        <v>#DIV/0!</v>
      </c>
      <c r="K107" s="6" t="e">
        <f t="shared" si="10"/>
        <v>#DIV/0!</v>
      </c>
      <c r="L107" s="12"/>
      <c r="M107" s="11" t="e">
        <f t="shared" si="11"/>
        <v>#DIV/0!</v>
      </c>
    </row>
    <row r="108" spans="1:13" ht="14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 t="e">
        <f t="shared" si="9"/>
        <v>#DIV/0!</v>
      </c>
      <c r="K108" s="9" t="e">
        <f t="shared" si="10"/>
        <v>#DIV/0!</v>
      </c>
      <c r="L108" s="10"/>
      <c r="M108" s="11" t="e">
        <f t="shared" si="11"/>
        <v>#DIV/0!</v>
      </c>
    </row>
    <row r="109" spans="1:13" ht="14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 t="e">
        <f t="shared" si="9"/>
        <v>#DIV/0!</v>
      </c>
      <c r="K109" s="6" t="e">
        <f t="shared" si="10"/>
        <v>#DIV/0!</v>
      </c>
      <c r="L109" s="12"/>
      <c r="M109" s="11" t="e">
        <f t="shared" si="11"/>
        <v>#DIV/0!</v>
      </c>
    </row>
    <row r="110" spans="1:13" ht="14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 t="e">
        <f t="shared" si="9"/>
        <v>#DIV/0!</v>
      </c>
      <c r="K110" s="9" t="e">
        <f t="shared" si="10"/>
        <v>#DIV/0!</v>
      </c>
      <c r="L110" s="10"/>
      <c r="M110" s="11" t="e">
        <f t="shared" si="11"/>
        <v>#DIV/0!</v>
      </c>
    </row>
    <row r="111" spans="1:13" ht="14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 t="e">
        <f t="shared" si="9"/>
        <v>#DIV/0!</v>
      </c>
      <c r="K111" s="6" t="e">
        <f t="shared" si="10"/>
        <v>#DIV/0!</v>
      </c>
      <c r="L111" s="12"/>
      <c r="M111" s="11" t="e">
        <f t="shared" si="11"/>
        <v>#DIV/0!</v>
      </c>
    </row>
    <row r="112" spans="1:13" ht="14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 t="e">
        <f t="shared" si="9"/>
        <v>#DIV/0!</v>
      </c>
      <c r="K112" s="9" t="e">
        <f t="shared" si="10"/>
        <v>#DIV/0!</v>
      </c>
      <c r="L112" s="10"/>
      <c r="M112" s="11" t="e">
        <f t="shared" si="11"/>
        <v>#DIV/0!</v>
      </c>
    </row>
    <row r="113" spans="1:13" ht="14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 t="e">
        <f t="shared" si="9"/>
        <v>#DIV/0!</v>
      </c>
      <c r="K113" s="6" t="e">
        <f t="shared" si="10"/>
        <v>#DIV/0!</v>
      </c>
      <c r="L113" s="12"/>
      <c r="M113" s="11" t="e">
        <f t="shared" si="11"/>
        <v>#DIV/0!</v>
      </c>
    </row>
    <row r="114" spans="1:13" ht="14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 t="e">
        <f t="shared" si="9"/>
        <v>#DIV/0!</v>
      </c>
      <c r="K114" s="9" t="e">
        <f t="shared" si="10"/>
        <v>#DIV/0!</v>
      </c>
      <c r="L114" s="10"/>
      <c r="M114" s="11" t="e">
        <f t="shared" si="11"/>
        <v>#DIV/0!</v>
      </c>
    </row>
    <row r="115" spans="1:13" ht="14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 t="e">
        <f t="shared" si="9"/>
        <v>#DIV/0!</v>
      </c>
      <c r="K115" s="6" t="e">
        <f t="shared" si="10"/>
        <v>#DIV/0!</v>
      </c>
      <c r="L115" s="12"/>
      <c r="M115" s="11" t="e">
        <f t="shared" si="11"/>
        <v>#DIV/0!</v>
      </c>
    </row>
    <row r="116" spans="1:13" ht="14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 t="e">
        <f t="shared" si="9"/>
        <v>#DIV/0!</v>
      </c>
      <c r="K116" s="9" t="e">
        <f t="shared" si="10"/>
        <v>#DIV/0!</v>
      </c>
      <c r="L116" s="10"/>
      <c r="M116" s="11" t="e">
        <f t="shared" si="11"/>
        <v>#DIV/0!</v>
      </c>
    </row>
    <row r="117" spans="1:13" ht="14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 t="e">
        <f t="shared" si="9"/>
        <v>#DIV/0!</v>
      </c>
      <c r="K117" s="6" t="e">
        <f t="shared" si="10"/>
        <v>#DIV/0!</v>
      </c>
      <c r="L117" s="12"/>
      <c r="M117" s="11" t="e">
        <f t="shared" si="11"/>
        <v>#DIV/0!</v>
      </c>
    </row>
    <row r="118" spans="1:13" ht="14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 t="e">
        <f t="shared" si="9"/>
        <v>#DIV/0!</v>
      </c>
      <c r="K118" s="9" t="e">
        <f t="shared" si="10"/>
        <v>#DIV/0!</v>
      </c>
      <c r="L118" s="10"/>
      <c r="M118" s="11" t="e">
        <f t="shared" si="11"/>
        <v>#DIV/0!</v>
      </c>
    </row>
    <row r="119" spans="1:13" ht="14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 t="e">
        <f t="shared" si="9"/>
        <v>#DIV/0!</v>
      </c>
      <c r="K119" s="6" t="e">
        <f t="shared" si="10"/>
        <v>#DIV/0!</v>
      </c>
      <c r="L119" s="12"/>
      <c r="M119" s="11" t="e">
        <f t="shared" si="11"/>
        <v>#DIV/0!</v>
      </c>
    </row>
    <row r="120" spans="1:13" ht="14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 t="e">
        <f t="shared" si="9"/>
        <v>#DIV/0!</v>
      </c>
      <c r="K120" s="9" t="e">
        <f t="shared" si="10"/>
        <v>#DIV/0!</v>
      </c>
      <c r="L120" s="10"/>
      <c r="M120" s="11" t="e">
        <f t="shared" si="11"/>
        <v>#DIV/0!</v>
      </c>
    </row>
    <row r="121" spans="1:13" ht="14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 t="e">
        <f t="shared" si="9"/>
        <v>#DIV/0!</v>
      </c>
      <c r="K121" s="6" t="e">
        <f t="shared" si="10"/>
        <v>#DIV/0!</v>
      </c>
      <c r="L121" s="12"/>
      <c r="M121" s="11" t="e">
        <f t="shared" si="11"/>
        <v>#DIV/0!</v>
      </c>
    </row>
    <row r="122" spans="1:13" ht="14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 t="e">
        <f t="shared" si="9"/>
        <v>#DIV/0!</v>
      </c>
      <c r="K122" s="9" t="e">
        <f t="shared" si="10"/>
        <v>#DIV/0!</v>
      </c>
      <c r="L122" s="10"/>
      <c r="M122" s="11" t="e">
        <f t="shared" si="11"/>
        <v>#DIV/0!</v>
      </c>
    </row>
    <row r="123" spans="1:13" ht="14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 t="e">
        <f t="shared" si="9"/>
        <v>#DIV/0!</v>
      </c>
      <c r="K123" s="6" t="e">
        <f t="shared" si="10"/>
        <v>#DIV/0!</v>
      </c>
      <c r="L123" s="12"/>
      <c r="M123" s="11" t="e">
        <f t="shared" si="11"/>
        <v>#DIV/0!</v>
      </c>
    </row>
    <row r="124" spans="1:13" ht="14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 t="e">
        <f t="shared" si="9"/>
        <v>#DIV/0!</v>
      </c>
      <c r="K124" s="9" t="e">
        <f t="shared" si="10"/>
        <v>#DIV/0!</v>
      </c>
      <c r="L124" s="10"/>
      <c r="M124" s="11" t="e">
        <f t="shared" si="11"/>
        <v>#DIV/0!</v>
      </c>
    </row>
    <row r="125" spans="1:13" ht="14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 t="e">
        <f t="shared" si="9"/>
        <v>#DIV/0!</v>
      </c>
      <c r="K125" s="6" t="e">
        <f t="shared" si="10"/>
        <v>#DIV/0!</v>
      </c>
      <c r="L125" s="12"/>
      <c r="M125" s="11" t="e">
        <f t="shared" si="11"/>
        <v>#DIV/0!</v>
      </c>
    </row>
    <row r="126" spans="1:13" ht="14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 t="e">
        <f t="shared" si="9"/>
        <v>#DIV/0!</v>
      </c>
      <c r="K126" s="9" t="e">
        <f t="shared" si="10"/>
        <v>#DIV/0!</v>
      </c>
      <c r="L126" s="10"/>
      <c r="M126" s="11" t="e">
        <f t="shared" si="11"/>
        <v>#DIV/0!</v>
      </c>
    </row>
    <row r="127" spans="1:13" ht="14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 t="e">
        <f t="shared" si="9"/>
        <v>#DIV/0!</v>
      </c>
      <c r="K127" s="6" t="e">
        <f t="shared" si="10"/>
        <v>#DIV/0!</v>
      </c>
      <c r="L127" s="12"/>
      <c r="M127" s="11" t="e">
        <f t="shared" si="11"/>
        <v>#DIV/0!</v>
      </c>
    </row>
    <row r="128" spans="1:13" ht="14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 t="e">
        <f t="shared" si="9"/>
        <v>#DIV/0!</v>
      </c>
      <c r="K128" s="9" t="e">
        <f t="shared" si="10"/>
        <v>#DIV/0!</v>
      </c>
      <c r="L128" s="10"/>
      <c r="M128" s="11" t="e">
        <f t="shared" si="11"/>
        <v>#DIV/0!</v>
      </c>
    </row>
    <row r="129" spans="1:13" ht="14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 t="e">
        <f t="shared" si="9"/>
        <v>#DIV/0!</v>
      </c>
      <c r="K129" s="6" t="e">
        <f t="shared" si="10"/>
        <v>#DIV/0!</v>
      </c>
      <c r="L129" s="12"/>
      <c r="M129" s="11" t="e">
        <f t="shared" si="11"/>
        <v>#DIV/0!</v>
      </c>
    </row>
    <row r="130" spans="1:13" ht="14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 t="e">
        <f t="shared" si="9"/>
        <v>#DIV/0!</v>
      </c>
      <c r="K130" s="9" t="e">
        <f t="shared" si="10"/>
        <v>#DIV/0!</v>
      </c>
      <c r="L130" s="10"/>
      <c r="M130" s="11" t="e">
        <f t="shared" si="11"/>
        <v>#DIV/0!</v>
      </c>
    </row>
    <row r="131" spans="1:13" ht="14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 t="e">
        <f t="shared" si="9"/>
        <v>#DIV/0!</v>
      </c>
      <c r="K131" s="6" t="e">
        <f t="shared" si="10"/>
        <v>#DIV/0!</v>
      </c>
      <c r="L131" s="12"/>
      <c r="M131" s="11" t="e">
        <f t="shared" si="11"/>
        <v>#DIV/0!</v>
      </c>
    </row>
    <row r="132" spans="1:13" ht="14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 t="e">
        <f t="shared" ref="J132:J163" si="12">IF(C132="做多",(F132-E132)/E132*G132,(E132-F132)/E132*G132)</f>
        <v>#DIV/0!</v>
      </c>
      <c r="K132" s="9" t="e">
        <f t="shared" ref="K132:K163" si="13">IF(J132&gt;0,"Win","Loss")</f>
        <v>#DIV/0!</v>
      </c>
      <c r="L132" s="10"/>
      <c r="M132" s="11" t="e">
        <f t="shared" si="11"/>
        <v>#DIV/0!</v>
      </c>
    </row>
    <row r="133" spans="1:13" ht="14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 t="e">
        <f t="shared" si="12"/>
        <v>#DIV/0!</v>
      </c>
      <c r="K133" s="6" t="e">
        <f t="shared" si="13"/>
        <v>#DIV/0!</v>
      </c>
      <c r="L133" s="12"/>
      <c r="M133" s="11" t="e">
        <f t="shared" ref="M133:M164" si="14">M132+J133</f>
        <v>#DIV/0!</v>
      </c>
    </row>
    <row r="134" spans="1:13" ht="14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 t="e">
        <f t="shared" si="12"/>
        <v>#DIV/0!</v>
      </c>
      <c r="K134" s="9" t="e">
        <f t="shared" si="13"/>
        <v>#DIV/0!</v>
      </c>
      <c r="L134" s="10"/>
      <c r="M134" s="11" t="e">
        <f t="shared" si="14"/>
        <v>#DIV/0!</v>
      </c>
    </row>
    <row r="135" spans="1:13" ht="14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 t="e">
        <f t="shared" si="12"/>
        <v>#DIV/0!</v>
      </c>
      <c r="K135" s="6" t="e">
        <f t="shared" si="13"/>
        <v>#DIV/0!</v>
      </c>
      <c r="L135" s="12"/>
      <c r="M135" s="11" t="e">
        <f t="shared" si="14"/>
        <v>#DIV/0!</v>
      </c>
    </row>
    <row r="136" spans="1:13" ht="14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 t="e">
        <f t="shared" si="12"/>
        <v>#DIV/0!</v>
      </c>
      <c r="K136" s="9" t="e">
        <f t="shared" si="13"/>
        <v>#DIV/0!</v>
      </c>
      <c r="L136" s="10"/>
      <c r="M136" s="11" t="e">
        <f t="shared" si="14"/>
        <v>#DIV/0!</v>
      </c>
    </row>
    <row r="137" spans="1:13" ht="14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 t="e">
        <f t="shared" si="12"/>
        <v>#DIV/0!</v>
      </c>
      <c r="K137" s="6" t="e">
        <f t="shared" si="13"/>
        <v>#DIV/0!</v>
      </c>
      <c r="L137" s="12"/>
      <c r="M137" s="11" t="e">
        <f t="shared" si="14"/>
        <v>#DIV/0!</v>
      </c>
    </row>
    <row r="138" spans="1:13" ht="14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 t="e">
        <f t="shared" si="12"/>
        <v>#DIV/0!</v>
      </c>
      <c r="K138" s="9" t="e">
        <f t="shared" si="13"/>
        <v>#DIV/0!</v>
      </c>
      <c r="L138" s="10"/>
      <c r="M138" s="11" t="e">
        <f t="shared" si="14"/>
        <v>#DIV/0!</v>
      </c>
    </row>
    <row r="139" spans="1:13" ht="14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 t="e">
        <f t="shared" si="12"/>
        <v>#DIV/0!</v>
      </c>
      <c r="K139" s="6" t="e">
        <f t="shared" si="13"/>
        <v>#DIV/0!</v>
      </c>
      <c r="L139" s="12"/>
      <c r="M139" s="11" t="e">
        <f t="shared" si="14"/>
        <v>#DIV/0!</v>
      </c>
    </row>
    <row r="140" spans="1:13" ht="14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 t="e">
        <f t="shared" si="12"/>
        <v>#DIV/0!</v>
      </c>
      <c r="K140" s="9" t="e">
        <f t="shared" si="13"/>
        <v>#DIV/0!</v>
      </c>
      <c r="L140" s="10"/>
      <c r="M140" s="11" t="e">
        <f t="shared" si="14"/>
        <v>#DIV/0!</v>
      </c>
    </row>
    <row r="141" spans="1:13" ht="14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 t="e">
        <f t="shared" si="12"/>
        <v>#DIV/0!</v>
      </c>
      <c r="K141" s="6" t="e">
        <f t="shared" si="13"/>
        <v>#DIV/0!</v>
      </c>
      <c r="L141" s="12"/>
      <c r="M141" s="11" t="e">
        <f t="shared" si="14"/>
        <v>#DIV/0!</v>
      </c>
    </row>
    <row r="142" spans="1:13" ht="14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 t="e">
        <f t="shared" si="12"/>
        <v>#DIV/0!</v>
      </c>
      <c r="K142" s="9" t="e">
        <f t="shared" si="13"/>
        <v>#DIV/0!</v>
      </c>
      <c r="L142" s="10"/>
      <c r="M142" s="11" t="e">
        <f t="shared" si="14"/>
        <v>#DIV/0!</v>
      </c>
    </row>
    <row r="143" spans="1:13" ht="14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 t="e">
        <f t="shared" si="12"/>
        <v>#DIV/0!</v>
      </c>
      <c r="K143" s="6" t="e">
        <f t="shared" si="13"/>
        <v>#DIV/0!</v>
      </c>
      <c r="L143" s="12"/>
      <c r="M143" s="11" t="e">
        <f t="shared" si="14"/>
        <v>#DIV/0!</v>
      </c>
    </row>
    <row r="144" spans="1:13" ht="14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 t="e">
        <f t="shared" si="12"/>
        <v>#DIV/0!</v>
      </c>
      <c r="K144" s="9" t="e">
        <f t="shared" si="13"/>
        <v>#DIV/0!</v>
      </c>
      <c r="L144" s="10"/>
      <c r="M144" s="11" t="e">
        <f t="shared" si="14"/>
        <v>#DIV/0!</v>
      </c>
    </row>
    <row r="145" spans="1:13" ht="14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 t="e">
        <f t="shared" si="12"/>
        <v>#DIV/0!</v>
      </c>
      <c r="K145" s="6" t="e">
        <f t="shared" si="13"/>
        <v>#DIV/0!</v>
      </c>
      <c r="L145" s="12"/>
      <c r="M145" s="11" t="e">
        <f t="shared" si="14"/>
        <v>#DIV/0!</v>
      </c>
    </row>
    <row r="146" spans="1:13" ht="14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 t="e">
        <f t="shared" si="12"/>
        <v>#DIV/0!</v>
      </c>
      <c r="K146" s="9" t="e">
        <f t="shared" si="13"/>
        <v>#DIV/0!</v>
      </c>
      <c r="L146" s="10"/>
      <c r="M146" s="11" t="e">
        <f t="shared" si="14"/>
        <v>#DIV/0!</v>
      </c>
    </row>
    <row r="147" spans="1:13" ht="14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 t="e">
        <f t="shared" si="12"/>
        <v>#DIV/0!</v>
      </c>
      <c r="K147" s="6" t="e">
        <f t="shared" si="13"/>
        <v>#DIV/0!</v>
      </c>
      <c r="L147" s="12"/>
      <c r="M147" s="11" t="e">
        <f t="shared" si="14"/>
        <v>#DIV/0!</v>
      </c>
    </row>
    <row r="148" spans="1:13" ht="14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 t="e">
        <f t="shared" si="12"/>
        <v>#DIV/0!</v>
      </c>
      <c r="K148" s="9" t="e">
        <f t="shared" si="13"/>
        <v>#DIV/0!</v>
      </c>
      <c r="L148" s="10"/>
      <c r="M148" s="11" t="e">
        <f t="shared" si="14"/>
        <v>#DIV/0!</v>
      </c>
    </row>
    <row r="149" spans="1:13" ht="14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 t="e">
        <f t="shared" si="12"/>
        <v>#DIV/0!</v>
      </c>
      <c r="K149" s="6" t="e">
        <f t="shared" si="13"/>
        <v>#DIV/0!</v>
      </c>
      <c r="L149" s="12"/>
      <c r="M149" s="11" t="e">
        <f t="shared" si="14"/>
        <v>#DIV/0!</v>
      </c>
    </row>
    <row r="150" spans="1:13" ht="14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 t="e">
        <f t="shared" si="12"/>
        <v>#DIV/0!</v>
      </c>
      <c r="K150" s="9" t="e">
        <f t="shared" si="13"/>
        <v>#DIV/0!</v>
      </c>
      <c r="L150" s="10"/>
      <c r="M150" s="11" t="e">
        <f t="shared" si="14"/>
        <v>#DIV/0!</v>
      </c>
    </row>
    <row r="151" spans="1:13" ht="14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 t="e">
        <f t="shared" si="12"/>
        <v>#DIV/0!</v>
      </c>
      <c r="K151" s="6" t="e">
        <f t="shared" si="13"/>
        <v>#DIV/0!</v>
      </c>
      <c r="L151" s="12"/>
      <c r="M151" s="11" t="e">
        <f t="shared" si="14"/>
        <v>#DIV/0!</v>
      </c>
    </row>
    <row r="152" spans="1:13" ht="14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 t="e">
        <f t="shared" si="12"/>
        <v>#DIV/0!</v>
      </c>
      <c r="K152" s="9" t="e">
        <f t="shared" si="13"/>
        <v>#DIV/0!</v>
      </c>
      <c r="L152" s="10"/>
      <c r="M152" s="11" t="e">
        <f t="shared" si="14"/>
        <v>#DIV/0!</v>
      </c>
    </row>
    <row r="153" spans="1:13" ht="14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 t="e">
        <f t="shared" si="12"/>
        <v>#DIV/0!</v>
      </c>
      <c r="K153" s="6" t="e">
        <f t="shared" si="13"/>
        <v>#DIV/0!</v>
      </c>
      <c r="L153" s="12"/>
      <c r="M153" s="11" t="e">
        <f t="shared" si="14"/>
        <v>#DIV/0!</v>
      </c>
    </row>
    <row r="154" spans="1:13" ht="14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 t="e">
        <f t="shared" si="12"/>
        <v>#DIV/0!</v>
      </c>
      <c r="K154" s="9" t="e">
        <f t="shared" si="13"/>
        <v>#DIV/0!</v>
      </c>
      <c r="L154" s="10"/>
      <c r="M154" s="11" t="e">
        <f t="shared" si="14"/>
        <v>#DIV/0!</v>
      </c>
    </row>
    <row r="155" spans="1:13" ht="14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 t="e">
        <f t="shared" si="12"/>
        <v>#DIV/0!</v>
      </c>
      <c r="K155" s="6" t="e">
        <f t="shared" si="13"/>
        <v>#DIV/0!</v>
      </c>
      <c r="L155" s="12"/>
      <c r="M155" s="11" t="e">
        <f t="shared" si="14"/>
        <v>#DIV/0!</v>
      </c>
    </row>
    <row r="156" spans="1:13" ht="14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 t="e">
        <f t="shared" si="12"/>
        <v>#DIV/0!</v>
      </c>
      <c r="K156" s="9" t="e">
        <f t="shared" si="13"/>
        <v>#DIV/0!</v>
      </c>
      <c r="L156" s="10"/>
      <c r="M156" s="11" t="e">
        <f t="shared" si="14"/>
        <v>#DIV/0!</v>
      </c>
    </row>
    <row r="157" spans="1:13" ht="14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 t="e">
        <f t="shared" si="12"/>
        <v>#DIV/0!</v>
      </c>
      <c r="K157" s="6" t="e">
        <f t="shared" si="13"/>
        <v>#DIV/0!</v>
      </c>
      <c r="L157" s="12"/>
      <c r="M157" s="11" t="e">
        <f t="shared" si="14"/>
        <v>#DIV/0!</v>
      </c>
    </row>
    <row r="158" spans="1:13" ht="14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 t="e">
        <f t="shared" si="12"/>
        <v>#DIV/0!</v>
      </c>
      <c r="K158" s="9" t="e">
        <f t="shared" si="13"/>
        <v>#DIV/0!</v>
      </c>
      <c r="L158" s="10"/>
      <c r="M158" s="11" t="e">
        <f t="shared" si="14"/>
        <v>#DIV/0!</v>
      </c>
    </row>
    <row r="159" spans="1:13" ht="14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 t="e">
        <f t="shared" si="12"/>
        <v>#DIV/0!</v>
      </c>
      <c r="K159" s="6" t="e">
        <f t="shared" si="13"/>
        <v>#DIV/0!</v>
      </c>
      <c r="L159" s="12"/>
      <c r="M159" s="11" t="e">
        <f t="shared" si="14"/>
        <v>#DIV/0!</v>
      </c>
    </row>
    <row r="160" spans="1:13" ht="14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 t="e">
        <f t="shared" si="12"/>
        <v>#DIV/0!</v>
      </c>
      <c r="K160" s="9" t="e">
        <f t="shared" si="13"/>
        <v>#DIV/0!</v>
      </c>
      <c r="L160" s="10"/>
      <c r="M160" s="11" t="e">
        <f t="shared" si="14"/>
        <v>#DIV/0!</v>
      </c>
    </row>
    <row r="161" spans="1:13" ht="14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 t="e">
        <f t="shared" si="12"/>
        <v>#DIV/0!</v>
      </c>
      <c r="K161" s="6" t="e">
        <f t="shared" si="13"/>
        <v>#DIV/0!</v>
      </c>
      <c r="L161" s="12"/>
      <c r="M161" s="11" t="e">
        <f t="shared" si="14"/>
        <v>#DIV/0!</v>
      </c>
    </row>
    <row r="162" spans="1:13" ht="14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 t="e">
        <f t="shared" si="12"/>
        <v>#DIV/0!</v>
      </c>
      <c r="K162" s="9" t="e">
        <f t="shared" si="13"/>
        <v>#DIV/0!</v>
      </c>
      <c r="L162" s="10"/>
      <c r="M162" s="11" t="e">
        <f t="shared" si="14"/>
        <v>#DIV/0!</v>
      </c>
    </row>
    <row r="163" spans="1:13" ht="14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 t="e">
        <f t="shared" si="12"/>
        <v>#DIV/0!</v>
      </c>
      <c r="K163" s="6" t="e">
        <f t="shared" si="13"/>
        <v>#DIV/0!</v>
      </c>
      <c r="L163" s="12"/>
      <c r="M163" s="11" t="e">
        <f t="shared" si="14"/>
        <v>#DIV/0!</v>
      </c>
    </row>
    <row r="164" spans="1:13" ht="14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 t="e">
        <f t="shared" ref="J164:J195" si="15">IF(C164="做多",(F164-E164)/E164*G164,(E164-F164)/E164*G164)</f>
        <v>#DIV/0!</v>
      </c>
      <c r="K164" s="9" t="e">
        <f t="shared" ref="K164:K195" si="16">IF(J164&gt;0,"Win","Loss")</f>
        <v>#DIV/0!</v>
      </c>
      <c r="L164" s="10"/>
      <c r="M164" s="11" t="e">
        <f t="shared" si="14"/>
        <v>#DIV/0!</v>
      </c>
    </row>
    <row r="165" spans="1:13" ht="14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 t="e">
        <f t="shared" si="15"/>
        <v>#DIV/0!</v>
      </c>
      <c r="K165" s="6" t="e">
        <f t="shared" si="16"/>
        <v>#DIV/0!</v>
      </c>
      <c r="L165" s="12"/>
      <c r="M165" s="11" t="e">
        <f t="shared" ref="M165:M196" si="17">M164+J165</f>
        <v>#DIV/0!</v>
      </c>
    </row>
    <row r="166" spans="1:13" ht="14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 t="e">
        <f t="shared" si="15"/>
        <v>#DIV/0!</v>
      </c>
      <c r="K166" s="9" t="e">
        <f t="shared" si="16"/>
        <v>#DIV/0!</v>
      </c>
      <c r="L166" s="10"/>
      <c r="M166" s="11" t="e">
        <f t="shared" si="17"/>
        <v>#DIV/0!</v>
      </c>
    </row>
    <row r="167" spans="1:13" ht="14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 t="e">
        <f t="shared" si="15"/>
        <v>#DIV/0!</v>
      </c>
      <c r="K167" s="6" t="e">
        <f t="shared" si="16"/>
        <v>#DIV/0!</v>
      </c>
      <c r="L167" s="12"/>
      <c r="M167" s="11" t="e">
        <f t="shared" si="17"/>
        <v>#DIV/0!</v>
      </c>
    </row>
    <row r="168" spans="1:13" ht="14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 t="e">
        <f t="shared" si="15"/>
        <v>#DIV/0!</v>
      </c>
      <c r="K168" s="9" t="e">
        <f t="shared" si="16"/>
        <v>#DIV/0!</v>
      </c>
      <c r="L168" s="10"/>
      <c r="M168" s="11" t="e">
        <f t="shared" si="17"/>
        <v>#DIV/0!</v>
      </c>
    </row>
    <row r="169" spans="1:13" ht="14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 t="e">
        <f t="shared" si="15"/>
        <v>#DIV/0!</v>
      </c>
      <c r="K169" s="6" t="e">
        <f t="shared" si="16"/>
        <v>#DIV/0!</v>
      </c>
      <c r="L169" s="12"/>
      <c r="M169" s="11" t="e">
        <f t="shared" si="17"/>
        <v>#DIV/0!</v>
      </c>
    </row>
    <row r="170" spans="1:13" ht="14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 t="e">
        <f t="shared" si="15"/>
        <v>#DIV/0!</v>
      </c>
      <c r="K170" s="9" t="e">
        <f t="shared" si="16"/>
        <v>#DIV/0!</v>
      </c>
      <c r="L170" s="10"/>
      <c r="M170" s="11" t="e">
        <f t="shared" si="17"/>
        <v>#DIV/0!</v>
      </c>
    </row>
    <row r="171" spans="1:13" ht="14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 t="e">
        <f t="shared" si="15"/>
        <v>#DIV/0!</v>
      </c>
      <c r="K171" s="6" t="e">
        <f t="shared" si="16"/>
        <v>#DIV/0!</v>
      </c>
      <c r="L171" s="12"/>
      <c r="M171" s="11" t="e">
        <f t="shared" si="17"/>
        <v>#DIV/0!</v>
      </c>
    </row>
    <row r="172" spans="1:13" ht="14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 t="e">
        <f t="shared" si="15"/>
        <v>#DIV/0!</v>
      </c>
      <c r="K172" s="9" t="e">
        <f t="shared" si="16"/>
        <v>#DIV/0!</v>
      </c>
      <c r="L172" s="10"/>
      <c r="M172" s="11" t="e">
        <f t="shared" si="17"/>
        <v>#DIV/0!</v>
      </c>
    </row>
    <row r="173" spans="1:13" ht="14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 t="e">
        <f t="shared" si="15"/>
        <v>#DIV/0!</v>
      </c>
      <c r="K173" s="6" t="e">
        <f t="shared" si="16"/>
        <v>#DIV/0!</v>
      </c>
      <c r="L173" s="12"/>
      <c r="M173" s="11" t="e">
        <f t="shared" si="17"/>
        <v>#DIV/0!</v>
      </c>
    </row>
    <row r="174" spans="1:13" ht="14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 t="e">
        <f t="shared" si="15"/>
        <v>#DIV/0!</v>
      </c>
      <c r="K174" s="9" t="e">
        <f t="shared" si="16"/>
        <v>#DIV/0!</v>
      </c>
      <c r="L174" s="10"/>
      <c r="M174" s="11" t="e">
        <f t="shared" si="17"/>
        <v>#DIV/0!</v>
      </c>
    </row>
    <row r="175" spans="1:13" ht="14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 t="e">
        <f t="shared" si="15"/>
        <v>#DIV/0!</v>
      </c>
      <c r="K175" s="6" t="e">
        <f t="shared" si="16"/>
        <v>#DIV/0!</v>
      </c>
      <c r="L175" s="12"/>
      <c r="M175" s="11" t="e">
        <f t="shared" si="17"/>
        <v>#DIV/0!</v>
      </c>
    </row>
    <row r="176" spans="1:13" ht="14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 t="e">
        <f t="shared" si="15"/>
        <v>#DIV/0!</v>
      </c>
      <c r="K176" s="9" t="e">
        <f t="shared" si="16"/>
        <v>#DIV/0!</v>
      </c>
      <c r="L176" s="10"/>
      <c r="M176" s="11" t="e">
        <f t="shared" si="17"/>
        <v>#DIV/0!</v>
      </c>
    </row>
    <row r="177" spans="1:13" ht="14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 t="e">
        <f t="shared" si="15"/>
        <v>#DIV/0!</v>
      </c>
      <c r="K177" s="6" t="e">
        <f t="shared" si="16"/>
        <v>#DIV/0!</v>
      </c>
      <c r="L177" s="12"/>
      <c r="M177" s="11" t="e">
        <f t="shared" si="17"/>
        <v>#DIV/0!</v>
      </c>
    </row>
    <row r="178" spans="1:13" ht="14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 t="e">
        <f t="shared" si="15"/>
        <v>#DIV/0!</v>
      </c>
      <c r="K178" s="9" t="e">
        <f t="shared" si="16"/>
        <v>#DIV/0!</v>
      </c>
      <c r="L178" s="10"/>
      <c r="M178" s="11" t="e">
        <f t="shared" si="17"/>
        <v>#DIV/0!</v>
      </c>
    </row>
    <row r="179" spans="1:13" ht="14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 t="e">
        <f t="shared" si="15"/>
        <v>#DIV/0!</v>
      </c>
      <c r="K179" s="6" t="e">
        <f t="shared" si="16"/>
        <v>#DIV/0!</v>
      </c>
      <c r="L179" s="12"/>
      <c r="M179" s="11" t="e">
        <f t="shared" si="17"/>
        <v>#DIV/0!</v>
      </c>
    </row>
    <row r="180" spans="1:13" ht="14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 t="e">
        <f t="shared" si="15"/>
        <v>#DIV/0!</v>
      </c>
      <c r="K180" s="9" t="e">
        <f t="shared" si="16"/>
        <v>#DIV/0!</v>
      </c>
      <c r="L180" s="10"/>
      <c r="M180" s="11" t="e">
        <f t="shared" si="17"/>
        <v>#DIV/0!</v>
      </c>
    </row>
    <row r="181" spans="1:13" ht="14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 t="e">
        <f t="shared" si="15"/>
        <v>#DIV/0!</v>
      </c>
      <c r="K181" s="6" t="e">
        <f t="shared" si="16"/>
        <v>#DIV/0!</v>
      </c>
      <c r="L181" s="12"/>
      <c r="M181" s="11" t="e">
        <f t="shared" si="17"/>
        <v>#DIV/0!</v>
      </c>
    </row>
    <row r="182" spans="1:13" ht="14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 t="e">
        <f t="shared" si="15"/>
        <v>#DIV/0!</v>
      </c>
      <c r="K182" s="9" t="e">
        <f t="shared" si="16"/>
        <v>#DIV/0!</v>
      </c>
      <c r="L182" s="10"/>
      <c r="M182" s="11" t="e">
        <f t="shared" si="17"/>
        <v>#DIV/0!</v>
      </c>
    </row>
    <row r="183" spans="1:13" ht="14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 t="e">
        <f t="shared" si="15"/>
        <v>#DIV/0!</v>
      </c>
      <c r="K183" s="6" t="e">
        <f t="shared" si="16"/>
        <v>#DIV/0!</v>
      </c>
      <c r="L183" s="12"/>
      <c r="M183" s="11" t="e">
        <f t="shared" si="17"/>
        <v>#DIV/0!</v>
      </c>
    </row>
    <row r="184" spans="1:13" ht="14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 t="e">
        <f t="shared" si="15"/>
        <v>#DIV/0!</v>
      </c>
      <c r="K184" s="9" t="e">
        <f t="shared" si="16"/>
        <v>#DIV/0!</v>
      </c>
      <c r="L184" s="10"/>
      <c r="M184" s="11" t="e">
        <f t="shared" si="17"/>
        <v>#DIV/0!</v>
      </c>
    </row>
    <row r="185" spans="1:13" ht="14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 t="e">
        <f t="shared" si="15"/>
        <v>#DIV/0!</v>
      </c>
      <c r="K185" s="6" t="e">
        <f t="shared" si="16"/>
        <v>#DIV/0!</v>
      </c>
      <c r="L185" s="12"/>
      <c r="M185" s="11" t="e">
        <f t="shared" si="17"/>
        <v>#DIV/0!</v>
      </c>
    </row>
    <row r="186" spans="1:13" ht="14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 t="e">
        <f t="shared" si="15"/>
        <v>#DIV/0!</v>
      </c>
      <c r="K186" s="9" t="e">
        <f t="shared" si="16"/>
        <v>#DIV/0!</v>
      </c>
      <c r="L186" s="10"/>
      <c r="M186" s="11" t="e">
        <f t="shared" si="17"/>
        <v>#DIV/0!</v>
      </c>
    </row>
    <row r="187" spans="1:13" ht="14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 t="e">
        <f t="shared" si="15"/>
        <v>#DIV/0!</v>
      </c>
      <c r="K187" s="6" t="e">
        <f t="shared" si="16"/>
        <v>#DIV/0!</v>
      </c>
      <c r="L187" s="12"/>
      <c r="M187" s="11" t="e">
        <f t="shared" si="17"/>
        <v>#DIV/0!</v>
      </c>
    </row>
    <row r="188" spans="1:13" ht="14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 t="e">
        <f t="shared" si="15"/>
        <v>#DIV/0!</v>
      </c>
      <c r="K188" s="9" t="e">
        <f t="shared" si="16"/>
        <v>#DIV/0!</v>
      </c>
      <c r="L188" s="10"/>
      <c r="M188" s="11" t="e">
        <f t="shared" si="17"/>
        <v>#DIV/0!</v>
      </c>
    </row>
    <row r="189" spans="1:13" ht="14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 t="e">
        <f t="shared" si="15"/>
        <v>#DIV/0!</v>
      </c>
      <c r="K189" s="6" t="e">
        <f t="shared" si="16"/>
        <v>#DIV/0!</v>
      </c>
      <c r="L189" s="12"/>
      <c r="M189" s="11" t="e">
        <f t="shared" si="17"/>
        <v>#DIV/0!</v>
      </c>
    </row>
    <row r="190" spans="1:13" ht="14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 t="e">
        <f t="shared" si="15"/>
        <v>#DIV/0!</v>
      </c>
      <c r="K190" s="9" t="e">
        <f t="shared" si="16"/>
        <v>#DIV/0!</v>
      </c>
      <c r="L190" s="10"/>
      <c r="M190" s="11" t="e">
        <f t="shared" si="17"/>
        <v>#DIV/0!</v>
      </c>
    </row>
    <row r="191" spans="1:13" ht="14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 t="e">
        <f t="shared" si="15"/>
        <v>#DIV/0!</v>
      </c>
      <c r="K191" s="6" t="e">
        <f t="shared" si="16"/>
        <v>#DIV/0!</v>
      </c>
      <c r="L191" s="12"/>
      <c r="M191" s="11" t="e">
        <f t="shared" si="17"/>
        <v>#DIV/0!</v>
      </c>
    </row>
    <row r="192" spans="1:13" ht="14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 t="e">
        <f t="shared" si="15"/>
        <v>#DIV/0!</v>
      </c>
      <c r="K192" s="9" t="e">
        <f t="shared" si="16"/>
        <v>#DIV/0!</v>
      </c>
      <c r="L192" s="10"/>
      <c r="M192" s="11" t="e">
        <f t="shared" si="17"/>
        <v>#DIV/0!</v>
      </c>
    </row>
    <row r="193" spans="1:13" ht="14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 t="e">
        <f t="shared" si="15"/>
        <v>#DIV/0!</v>
      </c>
      <c r="K193" s="6" t="e">
        <f t="shared" si="16"/>
        <v>#DIV/0!</v>
      </c>
      <c r="L193" s="12"/>
      <c r="M193" s="11" t="e">
        <f t="shared" si="17"/>
        <v>#DIV/0!</v>
      </c>
    </row>
    <row r="194" spans="1:13" ht="14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 t="e">
        <f t="shared" si="15"/>
        <v>#DIV/0!</v>
      </c>
      <c r="K194" s="9" t="e">
        <f t="shared" si="16"/>
        <v>#DIV/0!</v>
      </c>
      <c r="L194" s="10"/>
      <c r="M194" s="11" t="e">
        <f t="shared" si="17"/>
        <v>#DIV/0!</v>
      </c>
    </row>
    <row r="195" spans="1:13" ht="14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 t="e">
        <f t="shared" si="15"/>
        <v>#DIV/0!</v>
      </c>
      <c r="K195" s="6" t="e">
        <f t="shared" si="16"/>
        <v>#DIV/0!</v>
      </c>
      <c r="L195" s="12"/>
      <c r="M195" s="11" t="e">
        <f t="shared" si="17"/>
        <v>#DIV/0!</v>
      </c>
    </row>
    <row r="196" spans="1:13" ht="14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 t="e">
        <f t="shared" ref="J196:J203" si="18">IF(C196="做多",(F196-E196)/E196*G196,(E196-F196)/E196*G196)</f>
        <v>#DIV/0!</v>
      </c>
      <c r="K196" s="9" t="e">
        <f t="shared" ref="K196:K227" si="19">IF(J196&gt;0,"Win","Loss")</f>
        <v>#DIV/0!</v>
      </c>
      <c r="L196" s="10"/>
      <c r="M196" s="11" t="e">
        <f t="shared" si="17"/>
        <v>#DIV/0!</v>
      </c>
    </row>
    <row r="197" spans="1:13" ht="14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 t="e">
        <f t="shared" si="18"/>
        <v>#DIV/0!</v>
      </c>
      <c r="K197" s="6" t="e">
        <f t="shared" si="19"/>
        <v>#DIV/0!</v>
      </c>
      <c r="L197" s="12"/>
      <c r="M197" s="11" t="e">
        <f t="shared" ref="M197:M203" si="20">M196+J197</f>
        <v>#DIV/0!</v>
      </c>
    </row>
    <row r="198" spans="1:13" ht="14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 t="e">
        <f t="shared" si="18"/>
        <v>#DIV/0!</v>
      </c>
      <c r="K198" s="9" t="e">
        <f t="shared" si="19"/>
        <v>#DIV/0!</v>
      </c>
      <c r="L198" s="10"/>
      <c r="M198" s="11" t="e">
        <f t="shared" si="20"/>
        <v>#DIV/0!</v>
      </c>
    </row>
    <row r="199" spans="1:13" ht="14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 t="e">
        <f t="shared" si="18"/>
        <v>#DIV/0!</v>
      </c>
      <c r="K199" s="6" t="e">
        <f t="shared" si="19"/>
        <v>#DIV/0!</v>
      </c>
      <c r="L199" s="12"/>
      <c r="M199" s="11" t="e">
        <f t="shared" si="20"/>
        <v>#DIV/0!</v>
      </c>
    </row>
    <row r="200" spans="1:13" ht="14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 t="e">
        <f t="shared" si="18"/>
        <v>#DIV/0!</v>
      </c>
      <c r="K200" s="9" t="e">
        <f t="shared" si="19"/>
        <v>#DIV/0!</v>
      </c>
      <c r="L200" s="10"/>
      <c r="M200" s="11" t="e">
        <f t="shared" si="20"/>
        <v>#DIV/0!</v>
      </c>
    </row>
    <row r="201" spans="1:13" ht="14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 t="e">
        <f t="shared" si="18"/>
        <v>#DIV/0!</v>
      </c>
      <c r="K201" s="6" t="e">
        <f t="shared" si="19"/>
        <v>#DIV/0!</v>
      </c>
      <c r="L201" s="12"/>
      <c r="M201" s="11" t="e">
        <f t="shared" si="20"/>
        <v>#DIV/0!</v>
      </c>
    </row>
    <row r="202" spans="1:13" ht="14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 t="e">
        <f t="shared" si="18"/>
        <v>#DIV/0!</v>
      </c>
      <c r="K202" s="9" t="e">
        <f t="shared" si="19"/>
        <v>#DIV/0!</v>
      </c>
      <c r="L202" s="10"/>
      <c r="M202" s="11" t="e">
        <f t="shared" si="20"/>
        <v>#DIV/0!</v>
      </c>
    </row>
    <row r="203" spans="1:13" ht="14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 t="e">
        <f t="shared" si="18"/>
        <v>#DIV/0!</v>
      </c>
      <c r="K203" s="6" t="e">
        <f t="shared" si="19"/>
        <v>#DIV/0!</v>
      </c>
      <c r="L203" s="12"/>
      <c r="M203" s="11" t="e">
        <f t="shared" si="20"/>
        <v>#DIV/0!</v>
      </c>
    </row>
  </sheetData>
  <mergeCells count="2">
    <mergeCell ref="A2:L2"/>
    <mergeCell ref="A1:L1"/>
  </mergeCells>
  <phoneticPr fontId="8" type="noConversion"/>
  <dataValidations count="3">
    <dataValidation type="list" allowBlank="1" sqref="B4:B203" xr:uid="{00000000-0002-0000-0000-000000000000}">
      <formula1>"BTCUSDT,BTCUSDC,ETHUSDT,ETHUSDC,SOLUSDT,SOLUSDC"</formula1>
    </dataValidation>
    <dataValidation type="list" allowBlank="1" sqref="C4:C203" xr:uid="{00000000-0002-0000-0000-000001000000}">
      <formula1>"做多,做空"</formula1>
    </dataValidation>
    <dataValidation type="list" allowBlank="1" sqref="D4:D203" xr:uid="{00000000-0002-0000-0000-000002000000}">
      <formula1>"短线,波段,趋势,对冲,网格,其他"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opLeftCell="A7" zoomScale="85" zoomScaleNormal="85" workbookViewId="0">
      <selection activeCell="Y22" sqref="Y22"/>
    </sheetView>
  </sheetViews>
  <sheetFormatPr defaultColWidth="9" defaultRowHeight="14" x14ac:dyDescent="0.25"/>
  <cols>
    <col min="1" max="1" width="14" customWidth="1"/>
    <col min="2" max="2" width="22.453125" customWidth="1"/>
  </cols>
  <sheetData>
    <row r="1" spans="1:8" ht="35" customHeight="1" x14ac:dyDescent="0.5">
      <c r="A1" s="16" t="s">
        <v>32</v>
      </c>
      <c r="B1" s="15"/>
      <c r="C1" s="15"/>
      <c r="D1" s="15"/>
      <c r="E1" s="15"/>
      <c r="F1" s="15"/>
      <c r="G1" s="15"/>
      <c r="H1" s="15"/>
    </row>
    <row r="3" spans="1:8" ht="16.5" customHeight="1" x14ac:dyDescent="0.25">
      <c r="A3" s="1" t="s">
        <v>33</v>
      </c>
      <c r="B3" s="1" t="s">
        <v>34</v>
      </c>
    </row>
    <row r="4" spans="1:8" ht="16.5" customHeight="1" x14ac:dyDescent="0.25">
      <c r="A4" s="2" t="s">
        <v>35</v>
      </c>
      <c r="B4" s="3">
        <f>COUNTA(交易记录!C4:C203)</f>
        <v>5</v>
      </c>
    </row>
    <row r="5" spans="1:8" ht="16.5" customHeight="1" x14ac:dyDescent="0.25">
      <c r="A5" s="2" t="s">
        <v>36</v>
      </c>
      <c r="B5" s="3">
        <f>SUMIF(交易记录!K4:K203,"Win",交易记录!J4:J203)</f>
        <v>24.927841639323077</v>
      </c>
    </row>
    <row r="6" spans="1:8" ht="16.5" customHeight="1" x14ac:dyDescent="0.25">
      <c r="A6" s="2" t="s">
        <v>37</v>
      </c>
      <c r="B6" s="3">
        <f>SUMIF(交易记录!K4:K203,"Loss",交易记录!J4:J203)</f>
        <v>-2524.3135572163833</v>
      </c>
    </row>
    <row r="7" spans="1:8" ht="16.5" customHeight="1" x14ac:dyDescent="0.25">
      <c r="A7" s="2" t="s">
        <v>38</v>
      </c>
      <c r="B7" s="4" t="e">
        <f>SUM(交易记录!J4:J203)</f>
        <v>#DIV/0!</v>
      </c>
    </row>
    <row r="8" spans="1:8" ht="16.5" customHeight="1" x14ac:dyDescent="0.25">
      <c r="A8" s="2" t="s">
        <v>39</v>
      </c>
      <c r="B8" s="5" t="e">
        <f>IF(B3&gt;0,COUNTIF(交易记录!K4:K203,"Win")/B3,0)</f>
        <v>#VALUE!</v>
      </c>
    </row>
    <row r="9" spans="1:8" ht="16.5" customHeight="1" x14ac:dyDescent="0.25">
      <c r="A9" s="2" t="s">
        <v>40</v>
      </c>
      <c r="B9" s="4">
        <f>IF(C5&lt;0,ABS(B4/B5),0)</f>
        <v>0</v>
      </c>
    </row>
    <row r="10" spans="1:8" ht="16.5" customHeight="1" x14ac:dyDescent="0.25">
      <c r="A10" s="2" t="s">
        <v>41</v>
      </c>
      <c r="B10" s="3" t="e">
        <f>MAX(交易记录!J4:J203)</f>
        <v>#DIV/0!</v>
      </c>
    </row>
    <row r="11" spans="1:8" ht="16.5" customHeight="1" x14ac:dyDescent="0.25">
      <c r="A11" s="2" t="s">
        <v>42</v>
      </c>
      <c r="B11" s="3" t="e">
        <f>MIN(交易记录!J4:J203)</f>
        <v>#DIV/0!</v>
      </c>
    </row>
    <row r="14" spans="1:8" ht="16.5" customHeight="1" x14ac:dyDescent="0.45">
      <c r="A14" s="17" t="s">
        <v>43</v>
      </c>
      <c r="B14" s="15"/>
      <c r="C14" s="15"/>
      <c r="D14" s="15"/>
    </row>
    <row r="15" spans="1:8" ht="33" customHeight="1" x14ac:dyDescent="0.25">
      <c r="A15" s="1" t="s">
        <v>5</v>
      </c>
      <c r="B15" s="1" t="s">
        <v>44</v>
      </c>
      <c r="C15" s="1" t="s">
        <v>39</v>
      </c>
      <c r="D15" s="1" t="s">
        <v>38</v>
      </c>
    </row>
    <row r="16" spans="1:8" ht="14.5" customHeight="1" x14ac:dyDescent="0.25">
      <c r="A16" s="6" t="s">
        <v>18</v>
      </c>
      <c r="B16" s="6">
        <f>COUNTIF(交易记录!D4:D203,"短线")</f>
        <v>2</v>
      </c>
      <c r="C16" s="7">
        <f>IF(B16&gt;0,COUNTIFS(交易记录!D4:D203,"短线",交易记录!K4:K203,"Win")/B16,0)</f>
        <v>0.5</v>
      </c>
      <c r="D16" s="8">
        <f>SUMIF(交易记录!D4:D203,"短线",交易记录!J4:J203)</f>
        <v>-2378.8886075949367</v>
      </c>
    </row>
    <row r="17" spans="1:4" ht="14.5" customHeight="1" x14ac:dyDescent="0.25">
      <c r="A17" s="6" t="s">
        <v>25</v>
      </c>
      <c r="B17" s="6">
        <f>COUNTIF(交易记录!D4:D203,"波段")</f>
        <v>1</v>
      </c>
      <c r="C17" s="7">
        <f>IF(B17&gt;0,COUNTIFS(交易记录!D4:D203,"波段",交易记录!K4:K203,"Win")/B17,0)</f>
        <v>0</v>
      </c>
      <c r="D17" s="8">
        <f>SUMIF(交易记录!D4:D203,"波段",交易记录!J4:J203)</f>
        <v>-40.764331210191088</v>
      </c>
    </row>
    <row r="18" spans="1:4" ht="14.5" customHeight="1" x14ac:dyDescent="0.25">
      <c r="A18" s="6" t="s">
        <v>29</v>
      </c>
      <c r="B18" s="6">
        <f>COUNTIF(交易记录!D4:D203,"趋势")</f>
        <v>1</v>
      </c>
      <c r="C18" s="7">
        <f>IF(B18&gt;0,COUNTIFS(交易记录!D4:D203,"趋势",交易记录!K4:K203,"Win")/B18,0)</f>
        <v>1</v>
      </c>
      <c r="D18" s="8">
        <f>SUMIF(交易记录!D4:D203,"趋势",交易记录!J4:J203)</f>
        <v>17.016449234259785</v>
      </c>
    </row>
    <row r="19" spans="1:4" ht="14.5" customHeight="1" x14ac:dyDescent="0.25">
      <c r="A19" s="6" t="s">
        <v>22</v>
      </c>
      <c r="B19" s="6">
        <f>COUNTIF(交易记录!D4:D203,"对冲")</f>
        <v>1</v>
      </c>
      <c r="C19" s="7">
        <f>IF(B19&gt;0,COUNTIFS(交易记录!D4:D203,"对冲",交易记录!K4:K203,"Win")/B19,0)</f>
        <v>0</v>
      </c>
      <c r="D19" s="8">
        <f>SUMIF(交易记录!D4:D203,"对冲",交易记录!J4:J203)</f>
        <v>-96.749226006191961</v>
      </c>
    </row>
    <row r="20" spans="1:4" ht="14.5" customHeight="1" x14ac:dyDescent="0.25">
      <c r="A20" s="6" t="s">
        <v>45</v>
      </c>
      <c r="B20" s="6">
        <f>COUNTIF(交易记录!D4:D203,"网格")</f>
        <v>0</v>
      </c>
      <c r="C20" s="7">
        <f>IF(B20&gt;0,COUNTIFS(交易记录!D4:D203,"网格",交易记录!K4:K203,"Win")/B20,0)</f>
        <v>0</v>
      </c>
      <c r="D20" s="8">
        <f>SUMIF(交易记录!D4:D203,"网格",交易记录!J4:J203)</f>
        <v>0</v>
      </c>
    </row>
    <row r="21" spans="1:4" ht="14.5" customHeight="1" x14ac:dyDescent="0.25">
      <c r="A21" s="6" t="s">
        <v>46</v>
      </c>
      <c r="B21" s="6">
        <f>COUNTIF(交易记录!D4:D203,"其他")</f>
        <v>0</v>
      </c>
      <c r="C21" s="7">
        <f>IF(B21&gt;0,COUNTIFS(交易记录!D4:D203,"其他",交易记录!K4:K203,"Win")/B21,0)</f>
        <v>0</v>
      </c>
      <c r="D21" s="8">
        <f>SUMIF(交易记录!D4:D203,"其他",交易记录!J4:J203)</f>
        <v>0</v>
      </c>
    </row>
    <row r="22" spans="1:4" ht="16.5" customHeight="1" x14ac:dyDescent="0.45">
      <c r="A22" s="17" t="s">
        <v>47</v>
      </c>
      <c r="B22" s="15"/>
    </row>
    <row r="23" spans="1:4" ht="16.5" customHeight="1" x14ac:dyDescent="0.25">
      <c r="A23" s="1" t="s">
        <v>4</v>
      </c>
      <c r="B23" s="1" t="s">
        <v>38</v>
      </c>
    </row>
    <row r="24" spans="1:4" ht="16.5" customHeight="1" x14ac:dyDescent="0.25">
      <c r="A24" s="6" t="s">
        <v>21</v>
      </c>
      <c r="B24" s="4">
        <f>SUMIF(交易记录!C4:C203,"做多",交易记录!J4:J203)</f>
        <v>-2483.5492260061919</v>
      </c>
    </row>
    <row r="25" spans="1:4" ht="16.5" customHeight="1" x14ac:dyDescent="0.25">
      <c r="A25" s="6" t="s">
        <v>17</v>
      </c>
      <c r="B25" s="4">
        <f>SUMIF(交易记录!C4:C203,"做空",交易记录!J4:J203)</f>
        <v>-15.836489570868014</v>
      </c>
    </row>
    <row r="26" spans="1:4" ht="16.5" customHeight="1" x14ac:dyDescent="0.45">
      <c r="A26" s="17" t="s">
        <v>48</v>
      </c>
      <c r="B26" s="15"/>
      <c r="C26" s="15"/>
    </row>
    <row r="27" spans="1:4" ht="33" customHeight="1" x14ac:dyDescent="0.25">
      <c r="A27" s="1" t="s">
        <v>5</v>
      </c>
      <c r="B27" s="1" t="s">
        <v>44</v>
      </c>
      <c r="C27" s="1" t="s">
        <v>38</v>
      </c>
    </row>
    <row r="28" spans="1:4" ht="14.5" customHeight="1" x14ac:dyDescent="0.25">
      <c r="A28" s="6" t="s">
        <v>18</v>
      </c>
      <c r="B28" s="6">
        <f>COUNTIF(交易记录!D4:D203,"短线")</f>
        <v>2</v>
      </c>
      <c r="C28" s="8">
        <f>SUMIF(交易记录!D4:D203,"短线",交易记录!J4:J203)</f>
        <v>-2378.8886075949367</v>
      </c>
    </row>
    <row r="29" spans="1:4" ht="14.5" customHeight="1" x14ac:dyDescent="0.25">
      <c r="A29" s="6" t="s">
        <v>25</v>
      </c>
      <c r="B29" s="6">
        <f>COUNTIF(交易记录!D4:D203,"波段")</f>
        <v>1</v>
      </c>
      <c r="C29" s="8">
        <f>SUMIF(交易记录!D4:D203,"波段",交易记录!J4:J203)</f>
        <v>-40.764331210191088</v>
      </c>
    </row>
    <row r="30" spans="1:4" ht="14.5" customHeight="1" x14ac:dyDescent="0.25">
      <c r="A30" s="6" t="s">
        <v>29</v>
      </c>
      <c r="B30" s="6">
        <f>COUNTIF(交易记录!D4:D203,"趋势")</f>
        <v>1</v>
      </c>
      <c r="C30" s="8">
        <f>SUMIF(交易记录!D4:D203,"趋势",交易记录!J4:J203)</f>
        <v>17.016449234259785</v>
      </c>
    </row>
    <row r="31" spans="1:4" ht="14.5" customHeight="1" x14ac:dyDescent="0.25">
      <c r="A31" s="6" t="s">
        <v>22</v>
      </c>
      <c r="B31" s="6">
        <f>COUNTIF(交易记录!D4:D203,"对冲")</f>
        <v>1</v>
      </c>
      <c r="C31" s="8">
        <f>SUMIF(交易记录!D4:D203,"对冲",交易记录!J4:J203)</f>
        <v>-96.749226006191961</v>
      </c>
    </row>
    <row r="32" spans="1:4" ht="14.5" customHeight="1" x14ac:dyDescent="0.25">
      <c r="A32" s="6" t="s">
        <v>45</v>
      </c>
      <c r="B32" s="6">
        <f>COUNTIF(交易记录!D4:D203,"网格")</f>
        <v>0</v>
      </c>
      <c r="C32" s="8">
        <f>SUMIF(交易记录!D4:D203,"网格",交易记录!J4:J203)</f>
        <v>0</v>
      </c>
    </row>
    <row r="33" spans="1:3" ht="14.5" customHeight="1" x14ac:dyDescent="0.25">
      <c r="A33" s="6" t="s">
        <v>46</v>
      </c>
      <c r="B33" s="6">
        <f>COUNTIF(交易记录!D4:D203,"其他")</f>
        <v>0</v>
      </c>
      <c r="C33" s="8">
        <f>SUMIF(交易记录!D4:D203,"其他",交易记录!J4:J203)</f>
        <v>0</v>
      </c>
    </row>
    <row r="34" spans="1:3" ht="16.5" customHeight="1" x14ac:dyDescent="0.45">
      <c r="A34" s="17" t="s">
        <v>49</v>
      </c>
      <c r="B34" s="15"/>
    </row>
    <row r="35" spans="1:3" ht="16.5" customHeight="1" x14ac:dyDescent="0.25">
      <c r="A35" s="1" t="s">
        <v>12</v>
      </c>
      <c r="B35" s="1" t="s">
        <v>50</v>
      </c>
    </row>
    <row r="36" spans="1:3" ht="14.5" customHeight="1" x14ac:dyDescent="0.25">
      <c r="A36" s="6" t="s">
        <v>51</v>
      </c>
      <c r="B36" s="6">
        <f>COUNTIF(交易记录!K4:K203,"Win")</f>
        <v>2</v>
      </c>
    </row>
    <row r="37" spans="1:3" ht="14.5" customHeight="1" x14ac:dyDescent="0.25">
      <c r="A37" s="6" t="s">
        <v>52</v>
      </c>
      <c r="B37" s="6">
        <f>COUNTIF(交易记录!K4:K203,"Loss")</f>
        <v>3</v>
      </c>
    </row>
  </sheetData>
  <mergeCells count="5">
    <mergeCell ref="A14:D14"/>
    <mergeCell ref="A1:H1"/>
    <mergeCell ref="A26:C26"/>
    <mergeCell ref="A22:B22"/>
    <mergeCell ref="A34:B34"/>
  </mergeCells>
  <phoneticPr fontId="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交易记录</vt:lpstr>
      <vt:lpstr>统计看板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 yang</cp:lastModifiedBy>
  <dcterms:created xsi:type="dcterms:W3CDTF">2026-06-24T03:14:00Z</dcterms:created>
  <dcterms:modified xsi:type="dcterms:W3CDTF">2026-06-25T04:55:41Z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8F9E433E40234F8F93CC4DEEBFEF5E49_12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